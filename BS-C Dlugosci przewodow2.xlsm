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en_skoroszyt"/>
  <mc:AlternateContent xmlns:mc="http://schemas.openxmlformats.org/markup-compatibility/2006">
    <mc:Choice Requires="x15">
      <x15ac:absPath xmlns:x15ac="http://schemas.microsoft.com/office/spreadsheetml/2010/11/ac" url="B:\Cabling\"/>
    </mc:Choice>
  </mc:AlternateContent>
  <xr:revisionPtr revIDLastSave="0" documentId="13_ncr:1_{2DC491D4-AF04-4D97-8A20-0364E601056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lista_przewodów" sheetId="5" r:id="rId1"/>
    <sheet name="Tabeli" sheetId="1" r:id="rId2"/>
  </sheets>
  <definedNames>
    <definedName name="_xlcn.WorksheetConnection_BSCDlugosciprzewodow.xlsxDane" hidden="1">Dane[]</definedName>
    <definedName name="_xlcn.WorksheetConnection_BSCDlugosciprzewodow.xlsxElement" hidden="1">Element[]</definedName>
    <definedName name="_xlcn.WorksheetConnection_BSCDlugosciprzewodow.xlsxIndex" hidden="1">Index[]</definedName>
    <definedName name="_xlcn.WorksheetConnection_BSCDlugosciprzewodow.xlsxKonfigoracja" hidden="1">Konfigoracja[]</definedName>
    <definedName name="_xlcn.WorksheetConnection_BSCDlugosciprzewodow.xlsxobliczenia_B" hidden="1">obliczenia_B[]</definedName>
    <definedName name="_xlcn.WorksheetConnection_BSCDlugosciprzewodow.xlsxTabela1" hidden="1">Tabela_główna[]</definedName>
    <definedName name="AKTYWNA_KONFIG">lista_przewodów!$O$4</definedName>
    <definedName name="_xlnm.Print_Area" localSheetId="0">lista_przewodów!$B$2:$K$59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" name="Tabela1" connection="WorksheetConnection_BS-C Dlugosci przewodow.xlsx!Tabela1"/>
          <x15:modelTable id="obliczenia_B" name="obliczenia_B" connection="WorksheetConnection_BS-C Dlugosci przewodow.xlsx!obliczenia_B"/>
          <x15:modelTable id="Konfigoracja" name="Konfigoracja" connection="WorksheetConnection_BS-C Dlugosci przewodow.xlsx!Konfigoracja"/>
          <x15:modelTable id="Index" name="Index" connection="WorksheetConnection_BS-C Dlugosci przewodow.xlsx!Index"/>
          <x15:modelTable id="Element" name="Element" connection="WorksheetConnection_BS-C Dlugosci przewodow.xlsx!Element"/>
          <x15:modelTable id="Dane" name="Dane" connection="WorksheetConnection_BS-C Dlugosci przewodow.xlsx!Dan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1" l="1"/>
  <c r="J6" i="1"/>
  <c r="J3" i="1"/>
  <c r="J4" i="1"/>
  <c r="J5" i="1"/>
  <c r="M27" i="1"/>
  <c r="K27" i="1"/>
  <c r="G27" i="1"/>
  <c r="J60" i="1"/>
  <c r="J59" i="1"/>
  <c r="G59" i="1"/>
  <c r="K59" i="1"/>
  <c r="M59" i="1"/>
  <c r="R59" i="1"/>
  <c r="G60" i="1"/>
  <c r="K60" i="1"/>
  <c r="M60" i="1"/>
  <c r="R60" i="1"/>
  <c r="M58" i="1"/>
  <c r="K58" i="1"/>
  <c r="M57" i="1"/>
  <c r="K57" i="1"/>
  <c r="M56" i="1"/>
  <c r="K56" i="1"/>
  <c r="M55" i="1"/>
  <c r="K55" i="1"/>
  <c r="M54" i="1"/>
  <c r="K54" i="1"/>
  <c r="M53" i="1"/>
  <c r="K53" i="1"/>
  <c r="M52" i="1"/>
  <c r="K52" i="1"/>
  <c r="M51" i="1"/>
  <c r="K51" i="1"/>
  <c r="M50" i="1"/>
  <c r="K50" i="1"/>
  <c r="M49" i="1"/>
  <c r="K49" i="1"/>
  <c r="M48" i="1"/>
  <c r="K48" i="1"/>
  <c r="M47" i="1"/>
  <c r="K47" i="1"/>
  <c r="M46" i="1"/>
  <c r="K46" i="1"/>
  <c r="M45" i="1"/>
  <c r="K45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M19" i="1"/>
  <c r="J19" i="1"/>
  <c r="M32" i="1"/>
  <c r="K32" i="1"/>
  <c r="M31" i="1"/>
  <c r="K31" i="1"/>
  <c r="M30" i="1"/>
  <c r="K30" i="1"/>
  <c r="M29" i="1"/>
  <c r="K29" i="1"/>
  <c r="M28" i="1"/>
  <c r="K28" i="1"/>
  <c r="M26" i="1"/>
  <c r="K26" i="1"/>
  <c r="M25" i="1"/>
  <c r="K25" i="1"/>
  <c r="M24" i="1"/>
  <c r="K24" i="1"/>
  <c r="M23" i="1"/>
  <c r="K23" i="1"/>
  <c r="M22" i="1"/>
  <c r="K22" i="1"/>
  <c r="M21" i="1"/>
  <c r="K21" i="1"/>
  <c r="M20" i="1"/>
  <c r="K20" i="1"/>
  <c r="G19" i="1"/>
  <c r="G20" i="1"/>
  <c r="K19" i="1"/>
  <c r="G21" i="1"/>
  <c r="G22" i="1"/>
  <c r="G23" i="1"/>
  <c r="G24" i="1"/>
  <c r="G25" i="1"/>
  <c r="G26" i="1"/>
  <c r="G28" i="1"/>
  <c r="G29" i="1"/>
  <c r="G30" i="1"/>
  <c r="G31" i="1"/>
  <c r="G32" i="1"/>
  <c r="M18" i="1"/>
  <c r="K18" i="1"/>
  <c r="M44" i="1"/>
  <c r="K44" i="1"/>
  <c r="M43" i="1"/>
  <c r="K43" i="1"/>
  <c r="G43" i="1"/>
  <c r="G44" i="1"/>
  <c r="M40" i="1"/>
  <c r="K40" i="1"/>
  <c r="M39" i="1"/>
  <c r="K39" i="1"/>
  <c r="M38" i="1"/>
  <c r="K38" i="1"/>
  <c r="M37" i="1"/>
  <c r="K37" i="1"/>
  <c r="M36" i="1"/>
  <c r="K36" i="1"/>
  <c r="M35" i="1"/>
  <c r="K35" i="1"/>
  <c r="M34" i="1"/>
  <c r="K34" i="1"/>
  <c r="M33" i="1"/>
  <c r="K33" i="1"/>
  <c r="G18" i="1"/>
  <c r="G33" i="1"/>
  <c r="G34" i="1"/>
  <c r="G35" i="1"/>
  <c r="G36" i="1"/>
  <c r="G37" i="1"/>
  <c r="G38" i="1"/>
  <c r="G39" i="1"/>
  <c r="G40" i="1"/>
  <c r="J8" i="1"/>
  <c r="M42" i="1"/>
  <c r="K42" i="1"/>
  <c r="M41" i="1"/>
  <c r="K41" i="1"/>
  <c r="G41" i="1"/>
  <c r="G42" i="1"/>
  <c r="U4" i="1"/>
  <c r="AK3" i="1" s="1"/>
  <c r="T4" i="1"/>
  <c r="AI3" i="1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R6" i="1"/>
  <c r="R7" i="1"/>
  <c r="R8" i="1"/>
  <c r="R9" i="1"/>
  <c r="R10" i="1"/>
  <c r="R15" i="1"/>
  <c r="R16" i="1"/>
  <c r="AB34" i="1"/>
  <c r="AB25" i="1"/>
  <c r="AB26" i="1"/>
  <c r="AB17" i="1"/>
  <c r="AB18" i="1"/>
  <c r="AB19" i="1"/>
  <c r="AB20" i="1"/>
  <c r="AB21" i="1"/>
  <c r="AB22" i="1"/>
  <c r="AB23" i="1"/>
  <c r="AB24" i="1"/>
  <c r="AB11" i="1"/>
  <c r="AB12" i="1"/>
  <c r="AB13" i="1"/>
  <c r="AB14" i="1"/>
  <c r="AB15" i="1"/>
  <c r="AB16" i="1"/>
  <c r="AB10" i="1"/>
  <c r="AB9" i="1"/>
  <c r="AB8" i="1"/>
  <c r="AB7" i="1"/>
  <c r="AB6" i="1"/>
  <c r="AB5" i="1"/>
  <c r="AB4" i="1"/>
  <c r="AB3" i="1"/>
  <c r="G7" i="1"/>
  <c r="G10" i="1"/>
  <c r="G11" i="1"/>
  <c r="G12" i="1"/>
  <c r="G13" i="1"/>
  <c r="G14" i="1"/>
  <c r="G3" i="1"/>
  <c r="G5" i="1"/>
  <c r="G4" i="1"/>
  <c r="G15" i="1"/>
  <c r="G9" i="1"/>
  <c r="G16" i="1"/>
  <c r="G17" i="1"/>
  <c r="G6" i="1"/>
  <c r="G8" i="1"/>
  <c r="N27" i="1" l="1"/>
  <c r="R27" i="1" s="1"/>
  <c r="N54" i="1"/>
  <c r="R54" i="1" s="1"/>
  <c r="N53" i="1"/>
  <c r="R53" i="1" s="1"/>
  <c r="N47" i="1"/>
  <c r="R47" i="1" s="1"/>
  <c r="N46" i="1"/>
  <c r="R46" i="1" s="1"/>
  <c r="N52" i="1"/>
  <c r="R52" i="1" s="1"/>
  <c r="N51" i="1"/>
  <c r="R51" i="1" s="1"/>
  <c r="N50" i="1"/>
  <c r="R50" i="1" s="1"/>
  <c r="N49" i="1"/>
  <c r="R49" i="1" s="1"/>
  <c r="N48" i="1"/>
  <c r="R48" i="1" s="1"/>
  <c r="N31" i="1"/>
  <c r="R31" i="1" s="1"/>
  <c r="N45" i="1"/>
  <c r="R45" i="1" s="1"/>
  <c r="N43" i="1"/>
  <c r="R43" i="1" s="1"/>
  <c r="N58" i="1"/>
  <c r="R58" i="1" s="1"/>
  <c r="N57" i="1"/>
  <c r="R57" i="1" s="1"/>
  <c r="N56" i="1"/>
  <c r="R56" i="1" s="1"/>
  <c r="N55" i="1"/>
  <c r="R55" i="1" s="1"/>
  <c r="N35" i="1"/>
  <c r="R35" i="1" s="1"/>
  <c r="N34" i="1"/>
  <c r="R34" i="1" s="1"/>
  <c r="N30" i="1"/>
  <c r="R30" i="1" s="1"/>
  <c r="N29" i="1"/>
  <c r="R29" i="1" s="1"/>
  <c r="N28" i="1"/>
  <c r="R28" i="1" s="1"/>
  <c r="N26" i="1"/>
  <c r="R26" i="1" s="1"/>
  <c r="N33" i="1"/>
  <c r="R33" i="1" s="1"/>
  <c r="N24" i="1"/>
  <c r="R24" i="1" s="1"/>
  <c r="N25" i="1"/>
  <c r="R25" i="1" s="1"/>
  <c r="N23" i="1"/>
  <c r="R23" i="1" s="1"/>
  <c r="N21" i="1"/>
  <c r="R21" i="1" s="1"/>
  <c r="N22" i="1"/>
  <c r="R22" i="1" s="1"/>
  <c r="N20" i="1"/>
  <c r="R20" i="1" s="1"/>
  <c r="N32" i="1"/>
  <c r="R32" i="1" s="1"/>
  <c r="N13" i="1"/>
  <c r="R13" i="1" s="1"/>
  <c r="N19" i="1"/>
  <c r="R19" i="1" s="1"/>
  <c r="N40" i="1"/>
  <c r="R40" i="1" s="1"/>
  <c r="N39" i="1"/>
  <c r="R39" i="1" s="1"/>
  <c r="N36" i="1"/>
  <c r="R36" i="1" s="1"/>
  <c r="N38" i="1"/>
  <c r="R38" i="1" s="1"/>
  <c r="N37" i="1"/>
  <c r="R37" i="1" s="1"/>
  <c r="N18" i="1"/>
  <c r="R18" i="1" s="1"/>
  <c r="N44" i="1"/>
  <c r="R44" i="1" s="1"/>
  <c r="N42" i="1"/>
  <c r="R42" i="1" s="1"/>
  <c r="N41" i="1"/>
  <c r="R41" i="1" s="1"/>
  <c r="N17" i="1"/>
  <c r="R17" i="1" s="1"/>
  <c r="N14" i="1"/>
  <c r="R14" i="1" s="1"/>
  <c r="N12" i="1"/>
  <c r="R12" i="1" s="1"/>
  <c r="N11" i="1"/>
  <c r="R11" i="1" s="1"/>
  <c r="N5" i="1"/>
  <c r="R5" i="1" s="1"/>
  <c r="N4" i="1"/>
  <c r="R4" i="1" s="1"/>
  <c r="N3" i="1"/>
  <c r="R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63920A-FFDA-4C35-B9A4-788624166A0B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0A0B397-469C-4E8F-B4B5-E4C2BC2AE3C4}" name="WorksheetConnection_BS-C Dlugosci przewodow.xlsx!Dane" type="102" refreshedVersion="8" minRefreshableVersion="5">
    <extLst>
      <ext xmlns:x15="http://schemas.microsoft.com/office/spreadsheetml/2010/11/main" uri="{DE250136-89BD-433C-8126-D09CA5730AF9}">
        <x15:connection id="Dane">
          <x15:rangePr sourceName="_xlcn.WorksheetConnection_BSCDlugosciprzewodow.xlsxDane"/>
        </x15:connection>
      </ext>
    </extLst>
  </connection>
  <connection id="3" xr16:uid="{503376D0-7D70-4C6E-87FC-A7C971B12478}" name="WorksheetConnection_BS-C Dlugosci przewodow.xlsx!Element" type="102" refreshedVersion="8" minRefreshableVersion="5">
    <extLst>
      <ext xmlns:x15="http://schemas.microsoft.com/office/spreadsheetml/2010/11/main" uri="{DE250136-89BD-433C-8126-D09CA5730AF9}">
        <x15:connection id="Element">
          <x15:rangePr sourceName="_xlcn.WorksheetConnection_BSCDlugosciprzewodow.xlsxElement"/>
        </x15:connection>
      </ext>
    </extLst>
  </connection>
  <connection id="4" xr16:uid="{48DBFF2E-7F19-4691-81C8-9F105C8724D5}" name="WorksheetConnection_BS-C Dlugosci przewodow.xlsx!Index" type="102" refreshedVersion="8" minRefreshableVersion="5">
    <extLst>
      <ext xmlns:x15="http://schemas.microsoft.com/office/spreadsheetml/2010/11/main" uri="{DE250136-89BD-433C-8126-D09CA5730AF9}">
        <x15:connection id="Index">
          <x15:rangePr sourceName="_xlcn.WorksheetConnection_BSCDlugosciprzewodow.xlsxIndex"/>
        </x15:connection>
      </ext>
    </extLst>
  </connection>
  <connection id="5" xr16:uid="{8DB328F5-FE03-492E-BCDF-AB5F070F689F}" name="WorksheetConnection_BS-C Dlugosci przewodow.xlsx!Konfigoracja" type="102" refreshedVersion="8" minRefreshableVersion="5">
    <extLst>
      <ext xmlns:x15="http://schemas.microsoft.com/office/spreadsheetml/2010/11/main" uri="{DE250136-89BD-433C-8126-D09CA5730AF9}">
        <x15:connection id="Konfigoracja">
          <x15:rangePr sourceName="_xlcn.WorksheetConnection_BSCDlugosciprzewodow.xlsxKonfigoracja"/>
        </x15:connection>
      </ext>
    </extLst>
  </connection>
  <connection id="6" xr16:uid="{AB78EABC-AC9C-4C5F-9151-3153C4F7DB7B}" name="WorksheetConnection_BS-C Dlugosci przewodow.xlsx!obliczenia_B" type="102" refreshedVersion="8" minRefreshableVersion="5">
    <extLst>
      <ext xmlns:x15="http://schemas.microsoft.com/office/spreadsheetml/2010/11/main" uri="{DE250136-89BD-433C-8126-D09CA5730AF9}">
        <x15:connection id="obliczenia_B">
          <x15:rangePr sourceName="_xlcn.WorksheetConnection_BSCDlugosciprzewodow.xlsxobliczenia_B"/>
        </x15:connection>
      </ext>
    </extLst>
  </connection>
  <connection id="7" xr16:uid="{90BE41E1-5E3F-4920-98A6-3D804C61961F}" name="WorksheetConnection_BS-C Dlugosci przewodow.xlsx!Tabela1" type="102" refreshedVersion="8" minRefreshableVersion="5">
    <extLst>
      <ext xmlns:x15="http://schemas.microsoft.com/office/spreadsheetml/2010/11/main" uri="{DE250136-89BD-433C-8126-D09CA5730AF9}">
        <x15:connection id="Tabela1" autoDelete="1">
          <x15:rangePr sourceName="_xlcn.WorksheetConnection_BSCDlugosciprzewodow.xlsxTabela1"/>
        </x15:connection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<sst xmlns="http://schemas.openxmlformats.org/spreadsheetml/2006/main" count="584" uniqueCount="146">
  <si>
    <t>lp</t>
  </si>
  <si>
    <t>element</t>
  </si>
  <si>
    <t>wlk</t>
  </si>
  <si>
    <t>index</t>
  </si>
  <si>
    <t>Rozdzielnia (A) - wyjscie z koryta (n), m</t>
  </si>
  <si>
    <t>wyjscie z koryta - element, mm</t>
  </si>
  <si>
    <t>zapas IN, mm</t>
  </si>
  <si>
    <t>zapas OUT, mm</t>
  </si>
  <si>
    <t>nitka</t>
  </si>
  <si>
    <t>typ kabla</t>
  </si>
  <si>
    <t>Po długości</t>
  </si>
  <si>
    <t>mm</t>
  </si>
  <si>
    <t>Po szerekości</t>
  </si>
  <si>
    <t>Po wysokości</t>
  </si>
  <si>
    <t>Czujnik temperatury czerpnia</t>
  </si>
  <si>
    <t>BS-C-H-3</t>
  </si>
  <si>
    <t>-</t>
  </si>
  <si>
    <t>Wlot nawiewu</t>
  </si>
  <si>
    <t>BS-C-H-1</t>
  </si>
  <si>
    <t>AR</t>
  </si>
  <si>
    <t>B/2</t>
  </si>
  <si>
    <t>H petra</t>
  </si>
  <si>
    <t>Czujnik temperatury nawiewu</t>
  </si>
  <si>
    <t>AG</t>
  </si>
  <si>
    <t>Wylot nawiewu</t>
  </si>
  <si>
    <t>BS-C-H-2</t>
  </si>
  <si>
    <t>AB</t>
  </si>
  <si>
    <t>B obsługa</t>
  </si>
  <si>
    <t>Czujnik temperatury wyciąg</t>
  </si>
  <si>
    <t>AF</t>
  </si>
  <si>
    <t>Wlot wyciągu</t>
  </si>
  <si>
    <t>AC</t>
  </si>
  <si>
    <t>Czujnik temperatury Nawiew na przewodzie</t>
  </si>
  <si>
    <t>Wylot wyciągu</t>
  </si>
  <si>
    <t>BS-C-H-4</t>
  </si>
  <si>
    <t>AD</t>
  </si>
  <si>
    <t>Czujnik temperatury Wyciąg na przewodzie</t>
  </si>
  <si>
    <t>Wentylator nawiew</t>
  </si>
  <si>
    <t>BS-C-H-5</t>
  </si>
  <si>
    <t>AE</t>
  </si>
  <si>
    <t>Czunik wilgotności Nawiew na przewodzie</t>
  </si>
  <si>
    <t>Wentylator wyciąg</t>
  </si>
  <si>
    <t>BS-C-H-6</t>
  </si>
  <si>
    <t>Czunik wilgotności Wyciąg na przewodzie</t>
  </si>
  <si>
    <t>Nagrzewnica</t>
  </si>
  <si>
    <t>BS-C-H-7</t>
  </si>
  <si>
    <t>Siłownik przepustnicy Nawiew</t>
  </si>
  <si>
    <t>Złączki</t>
  </si>
  <si>
    <t>RZ</t>
  </si>
  <si>
    <t>Siłownik przepustnicy Wyciąg (wylot)</t>
  </si>
  <si>
    <t>AH</t>
  </si>
  <si>
    <t>Siłownik przepustnicy Wyciąg (wlot)</t>
  </si>
  <si>
    <t>AI</t>
  </si>
  <si>
    <t>Siłownik przepustnicy By-PASS</t>
  </si>
  <si>
    <t>Siłownik przepustnicy Recyrkulacja</t>
  </si>
  <si>
    <t>Presostat filtra Nawiew</t>
  </si>
  <si>
    <t>Presostat filtra Wyciąg</t>
  </si>
  <si>
    <t>Presostat Krzyżowy</t>
  </si>
  <si>
    <t>Przetwornik ciśnienia went, Nawiew</t>
  </si>
  <si>
    <t>Przetwornik ciśnienia went, Wyciąg</t>
  </si>
  <si>
    <t>Zasilanie wentylatora nawiew</t>
  </si>
  <si>
    <t>Sygnal sterowania went. nawiew</t>
  </si>
  <si>
    <t>Zasilanie wentylatora wyciąg</t>
  </si>
  <si>
    <t>Sygnal sterowania went. wyciąg</t>
  </si>
  <si>
    <t>Nagrzewnica PTC</t>
  </si>
  <si>
    <t>wymiary matki</t>
  </si>
  <si>
    <t>LP</t>
  </si>
  <si>
    <t>L [mm]</t>
  </si>
  <si>
    <t>B [mm]</t>
  </si>
  <si>
    <t>H [mm]</t>
  </si>
  <si>
    <t>B</t>
  </si>
  <si>
    <t>H</t>
  </si>
  <si>
    <t>konfiguracja</t>
  </si>
  <si>
    <t>Matka+CH</t>
  </si>
  <si>
    <t>Matka</t>
  </si>
  <si>
    <t>Matka+satelitka nietypowa</t>
  </si>
  <si>
    <t>DB+Matka</t>
  </si>
  <si>
    <t>DB+Matka+CH</t>
  </si>
  <si>
    <t>DB+Matka+BD+CH</t>
  </si>
  <si>
    <t>DB+Matka+BD</t>
  </si>
  <si>
    <t>Wentylator NW</t>
  </si>
  <si>
    <t>Wentylator W</t>
  </si>
  <si>
    <t>Brak</t>
  </si>
  <si>
    <t>Wodna</t>
  </si>
  <si>
    <t>PTC 3 kw</t>
  </si>
  <si>
    <t>PTC 6 kw</t>
  </si>
  <si>
    <t>PTC 9 kw</t>
  </si>
  <si>
    <t>PTC 12 kw</t>
  </si>
  <si>
    <t>PTC 15 kw</t>
  </si>
  <si>
    <t>PTC 18 kw</t>
  </si>
  <si>
    <t>PTC T12+T9 kw</t>
  </si>
  <si>
    <t>PTC T12+T12 kw</t>
  </si>
  <si>
    <t>PTC T15+T15 kw</t>
  </si>
  <si>
    <t>PTC T15+T12 kw</t>
  </si>
  <si>
    <t>PTC T12+T12+T9 kw</t>
  </si>
  <si>
    <t>PTC T12+T12+T12 kw</t>
  </si>
  <si>
    <t>PTC T15+T12+T12 kw</t>
  </si>
  <si>
    <t>Wentylator</t>
  </si>
  <si>
    <t>Na wlocie</t>
  </si>
  <si>
    <t>Na wylocie</t>
  </si>
  <si>
    <t>Przepustnica na Wyciągu</t>
  </si>
  <si>
    <t>Recyrkulacja</t>
  </si>
  <si>
    <t>Zamontować</t>
  </si>
  <si>
    <t>Presostat Filra</t>
  </si>
  <si>
    <t>Presostat Wymiennika</t>
  </si>
  <si>
    <t>Przetwornik ciśnienia went.</t>
  </si>
  <si>
    <t>Brak/Zam.</t>
  </si>
  <si>
    <t>pole wyboru</t>
  </si>
  <si>
    <t>Suma, m</t>
  </si>
  <si>
    <t>Typ kabla</t>
  </si>
  <si>
    <t>grupa</t>
  </si>
  <si>
    <t>standard</t>
  </si>
  <si>
    <t>Podsumowanie</t>
  </si>
  <si>
    <t>Pole wyboru</t>
  </si>
  <si>
    <t>6x1mm</t>
  </si>
  <si>
    <t>GR20V</t>
  </si>
  <si>
    <t>GR25C 0,5 kW (0,78kW)</t>
  </si>
  <si>
    <t>2 x GR25C 0,5 kW (0,78kW)</t>
  </si>
  <si>
    <t>GR28C 0,78 kW</t>
  </si>
  <si>
    <t>GR31C 0,78 kW</t>
  </si>
  <si>
    <t>2 x GR31C 1,35 kW</t>
  </si>
  <si>
    <t>GR31C 1,35 kW</t>
  </si>
  <si>
    <t>GR31C 2,5 kW</t>
  </si>
  <si>
    <t>2 x GR31C 2,5 kW</t>
  </si>
  <si>
    <t>GR40C 3,9 kW</t>
  </si>
  <si>
    <t>GR50C 3,5 kW</t>
  </si>
  <si>
    <t>GR50C 5,4 kW</t>
  </si>
  <si>
    <t>Termostat</t>
  </si>
  <si>
    <t>3x1,5mm</t>
  </si>
  <si>
    <t>4x1,5mm</t>
  </si>
  <si>
    <t>4x2,5mm</t>
  </si>
  <si>
    <t>Złączki wlot nawiewu</t>
  </si>
  <si>
    <t>Złączki wylot nawiewu</t>
  </si>
  <si>
    <t>Matka+DB</t>
  </si>
  <si>
    <t>Matka+DB+CH</t>
  </si>
  <si>
    <t>Matka+DB+satelitka nietypowa</t>
  </si>
  <si>
    <t>3x1mm</t>
  </si>
  <si>
    <t>3x2mm</t>
  </si>
  <si>
    <t>2x1mm</t>
  </si>
  <si>
    <t>Zasilanie wentylatora nawiew 1</t>
  </si>
  <si>
    <t>Zasilanie wentylatora nawiew 2</t>
  </si>
  <si>
    <t>2xGR25C 0,5 kW (0,78kW)</t>
  </si>
  <si>
    <t xml:space="preserve"> </t>
  </si>
  <si>
    <t>Dane</t>
  </si>
  <si>
    <t>Druk</t>
  </si>
  <si>
    <t>Lista przewodów do 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</si>
</sst>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000000"/>
      <name val="Aptos Narrow"/>
      <family val="2"/>
      <charset val="238"/>
      <scheme val="minor"/>
    </font>
    <font>
      <b/>
      <sz val="14"/>
      <name val="Aptos Narrow"/>
      <family val="2"/>
      <charset val="238"/>
      <scheme val="minor"/>
    </font>
    <font>
      <b/>
      <sz val="14"/>
      <color rgb="FF000000"/>
      <name val="Aptos Narrow"/>
      <family val="2"/>
      <charset val="238"/>
      <scheme val="minor"/>
    </font>
    <font>
      <sz val="16"/>
      <color rgb="FF000000"/>
      <name val="Sanskrit Text"/>
      <family val="1"/>
    </font>
    <font>
      <b/>
      <sz val="12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2" fillId="3" borderId="2" xfId="0" applyFont="1" applyFill="1" applyBorder="1"/>
    <xf numFmtId="0" fontId="0" fillId="0" borderId="1" xfId="0" applyBorder="1"/>
    <xf numFmtId="0" fontId="0" fillId="2" borderId="1" xfId="0" applyFill="1" applyBorder="1"/>
    <xf numFmtId="0" fontId="0" fillId="0" borderId="3" xfId="0" applyBorder="1"/>
    <xf numFmtId="0" fontId="1" fillId="0" borderId="3" xfId="0" applyFont="1" applyBorder="1"/>
    <xf numFmtId="1" fontId="0" fillId="0" borderId="0" xfId="0" applyNumberFormat="1"/>
    <xf numFmtId="164" fontId="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Alignment="1">
      <alignment horizontal="center"/>
    </xf>
    <xf numFmtId="0" fontId="0" fillId="6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164" fontId="0" fillId="0" borderId="0" xfId="0" applyNumberFormat="1" applyAlignment="1">
      <alignment horizontal="center"/>
    </xf>
    <xf numFmtId="0" fontId="6" fillId="7" borderId="7" xfId="0" applyFont="1" applyFill="1" applyBorder="1"/>
    <xf numFmtId="0" fontId="0" fillId="2" borderId="7" xfId="0" applyFill="1" applyBorder="1"/>
    <xf numFmtId="0" fontId="7" fillId="0" borderId="7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0" fillId="0" borderId="7" xfId="0" applyBorder="1"/>
    <xf numFmtId="0" fontId="0" fillId="0" borderId="7" xfId="0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9" borderId="6" xfId="0" applyFill="1" applyBorder="1"/>
    <xf numFmtId="0" fontId="0" fillId="9" borderId="4" xfId="0" applyFill="1" applyBorder="1"/>
    <xf numFmtId="0" fontId="0" fillId="2" borderId="3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4" borderId="0" xfId="0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10" borderId="0" xfId="0" applyFill="1"/>
    <xf numFmtId="164" fontId="0" fillId="10" borderId="0" xfId="0" applyNumberFormat="1" applyFill="1"/>
    <xf numFmtId="0" fontId="10" fillId="4" borderId="0" xfId="0" applyFont="1" applyFill="1" applyAlignment="1">
      <alignment horizontal="left"/>
    </xf>
    <xf numFmtId="0" fontId="0" fillId="11" borderId="0" xfId="0" applyFill="1"/>
    <xf numFmtId="0" fontId="0" fillId="11" borderId="0" xfId="0" applyFill="1" applyAlignment="1">
      <alignment horizontal="left"/>
    </xf>
    <xf numFmtId="0" fontId="0" fillId="0" borderId="0" xfId="0" quotePrefix="1"/>
    <xf numFmtId="0" fontId="0" fillId="10" borderId="0" xfId="0" applyFill="1" applyAlignment="1">
      <alignment horizontal="left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11" fillId="11" borderId="0" xfId="0" applyFont="1" applyFill="1"/>
    <xf numFmtId="0" fontId="11" fillId="11" borderId="0" xfId="0" applyFont="1" applyFill="1" applyAlignment="1">
      <alignment horizontal="right"/>
    </xf>
    <xf numFmtId="0" fontId="12" fillId="11" borderId="0" xfId="0" applyFont="1" applyFill="1" applyAlignment="1">
      <alignment horizontal="left"/>
    </xf>
    <xf numFmtId="0" fontId="13" fillId="11" borderId="0" xfId="0" applyFont="1" applyFill="1" applyAlignment="1">
      <alignment horizontal="left"/>
    </xf>
  </cellXfs>
  <cellStyles count="1">
    <cellStyle name="Normalny" xfId="0" builtinId="0"/>
  </cellStyles>
  <dxfs count="6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sz val="12"/>
      </font>
      <numFmt numFmtId="164" formatCode="0.0"/>
      <alignment horizontal="center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0.0"/>
      <alignment horizontal="center" vertical="bottom" textRotation="0" wrapText="0" indent="0" justifyLastLine="0" shrinkToFit="0" readingOrder="0"/>
    </dxf>
    <dxf>
      <alignment horizontal="center" vertical="center"/>
    </dxf>
    <dxf>
      <numFmt numFmtId="1" formatCode="0"/>
      <alignment horizontal="center" vertical="center"/>
    </dxf>
    <dxf>
      <numFmt numFmtId="1" formatCode="0"/>
      <alignment horizontal="center" vertical="center"/>
    </dxf>
    <dxf>
      <font>
        <b/>
        <sz val="12"/>
      </font>
      <numFmt numFmtId="164" formatCode="0.0"/>
      <alignment horizontal="center" vertical="bottom" textRotation="0" wrapText="0" indent="0" justifyLastLine="0" shrinkToFit="0" readingOrder="0"/>
    </dxf>
    <dxf>
      <font>
        <b/>
        <sz val="12"/>
      </font>
      <alignment horizontal="center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alignment horizontal="left"/>
    </dxf>
    <dxf>
      <alignment horizontal="left" vertical="top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indexed="64"/>
          <bgColor rgb="FF0070C0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ill>
        <patternFill patternType="solid">
          <fgColor indexed="64"/>
          <bgColor rgb="FF0070C0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23/09/relationships/Python" Target="pytho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16</xdr:row>
          <xdr:rowOff>123825</xdr:rowOff>
        </xdr:from>
        <xdr:to>
          <xdr:col>14</xdr:col>
          <xdr:colOff>1362075</xdr:colOff>
          <xdr:row>18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pl-PL" sz="1600" b="0" i="0" u="none" strike="noStrike" baseline="0">
                  <a:solidFill>
                    <a:srgbClr val="000000"/>
                  </a:solidFill>
                  <a:latin typeface="Sanskrit Text"/>
                  <a:cs typeface="Sanskrit Text"/>
                </a:rPr>
                <a:t>Generuj listę przewodów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20</xdr:row>
          <xdr:rowOff>28575</xdr:rowOff>
        </xdr:from>
        <xdr:to>
          <xdr:col>14</xdr:col>
          <xdr:colOff>1390650</xdr:colOff>
          <xdr:row>22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pl-PL" sz="1600" b="0" i="0" u="none" strike="noStrike" baseline="0">
                  <a:solidFill>
                    <a:srgbClr val="000000"/>
                  </a:solidFill>
                  <a:latin typeface="Sanskrit Text"/>
                  <a:cs typeface="Sanskrit Text"/>
                </a:rPr>
                <a:t>Podgląd wydruku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23</xdr:row>
          <xdr:rowOff>85725</xdr:rowOff>
        </xdr:from>
        <xdr:to>
          <xdr:col>14</xdr:col>
          <xdr:colOff>1381125</xdr:colOff>
          <xdr:row>26</xdr:row>
          <xdr:rowOff>47625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pl-PL" sz="1600" b="0" i="0" u="none" strike="noStrike" baseline="0">
                  <a:solidFill>
                    <a:srgbClr val="000000"/>
                  </a:solidFill>
                  <a:latin typeface="Sanskrit Text"/>
                  <a:cs typeface="Sanskrit Text"/>
                </a:rPr>
                <a:t>Drukowanie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276225</xdr:colOff>
      <xdr:row>40</xdr:row>
      <xdr:rowOff>135363</xdr:rowOff>
    </xdr:from>
    <xdr:to>
      <xdr:col>21</xdr:col>
      <xdr:colOff>85725</xdr:colOff>
      <xdr:row>47</xdr:row>
      <xdr:rowOff>162779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A21E5A00-D34F-37E6-D953-E24F7B4A8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63750" y="7812513"/>
          <a:ext cx="2857500" cy="13609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27</xdr:row>
          <xdr:rowOff>47625</xdr:rowOff>
        </xdr:from>
        <xdr:to>
          <xdr:col>14</xdr:col>
          <xdr:colOff>1428750</xdr:colOff>
          <xdr:row>29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6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234640</xdr:colOff>
      <xdr:row>17</xdr:row>
      <xdr:rowOff>38101</xdr:rowOff>
    </xdr:from>
    <xdr:to>
      <xdr:col>20</xdr:col>
      <xdr:colOff>523876</xdr:colOff>
      <xdr:row>28</xdr:row>
      <xdr:rowOff>36389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ED4F67DB-B770-748F-B5CD-AA6A416FD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12565" y="3333751"/>
          <a:ext cx="3337236" cy="20937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641536</xdr:colOff>
      <xdr:row>25</xdr:row>
      <xdr:rowOff>21852</xdr:rowOff>
    </xdr:from>
    <xdr:to>
      <xdr:col>22</xdr:col>
      <xdr:colOff>1588994</xdr:colOff>
      <xdr:row>48</xdr:row>
      <xdr:rowOff>97492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8AA93A60-2207-E546-7A7D-79C550D5D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630154" y="5535146"/>
          <a:ext cx="7536516" cy="47148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FA9AA8A-DDBA-4B19-8A03-C8FC881E9F81}" name="Druk" displayName="Druk" ref="C4:G19" totalsRowShown="0" headerRowDxfId="68" dataDxfId="66" headerRowBorderDxfId="67" tableBorderDxfId="65">
  <autoFilter ref="C4:G19" xr:uid="{4FA9AA8A-DDBA-4B19-8A03-C8FC881E9F81}"/>
  <tableColumns count="5">
    <tableColumn id="1" xr3:uid="{D3A87CE8-EB30-4D3C-87CB-2C9CE1DADDA2}" name="lp" dataDxfId="64"/>
    <tableColumn id="2" xr3:uid="{79359C3D-0D97-4478-BC5C-60225695C6A0}" name="element" dataDxfId="63"/>
    <tableColumn id="16" xr3:uid="{25DC5521-5B18-4761-A129-261F5CACC440}" name="wlk" dataDxfId="62"/>
    <tableColumn id="22" xr3:uid="{91E2474F-6F73-40BC-86FA-21E9DC0D2669}" name="Typ kabla" dataDxfId="61"/>
    <tableColumn id="23" xr3:uid="{475E0286-63CA-4212-9C8D-047186FAD737}" name="Suma, m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B5B0B70-6282-4502-936C-115384DD19CA}" name="Dane" displayName="Dane" ref="N2:O15" totalsRowShown="0" headerRowDxfId="59" headerRowBorderDxfId="58" tableBorderDxfId="57" totalsRowBorderDxfId="56">
  <autoFilter ref="N2:O15" xr:uid="{5B5B0B70-6282-4502-936C-115384DD19CA}"/>
  <tableColumns count="2">
    <tableColumn id="1" xr3:uid="{CEE258CA-70D6-440D-92A3-9BBFB074E5A1}" name="grupa" dataDxfId="55"/>
    <tableColumn id="2" xr3:uid="{57F84B38-0A2E-4745-A20C-AF325AB018D5}" name="pole wyboru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BCF50A3-6585-4DA3-ABE0-061482856325}" name="Tabela18" displayName="Tabela18" ref="I4:J9" totalsRowShown="0" headerRowDxfId="53">
  <autoFilter ref="I4:J9" xr:uid="{2BCF50A3-6585-4DA3-ABE0-061482856325}"/>
  <sortState xmlns:xlrd2="http://schemas.microsoft.com/office/spreadsheetml/2017/richdata2" ref="I5:J9">
    <sortCondition ref="I5:I9"/>
  </sortState>
  <tableColumns count="2">
    <tableColumn id="1" xr3:uid="{63093129-AD91-45F7-9682-1C93A6DE3198}" name="Typ kabla" dataDxfId="52"/>
    <tableColumn id="2" xr3:uid="{2787CD2C-39A0-48B1-A470-D07BCCE40F60}" name="Suma, m" dataDxfId="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53E405-29D0-47B5-B58D-C27497988ED2}" name="Tabela_główna" displayName="Tabela_główna" ref="G2:R60" totalsRowShown="0" headerRowDxfId="50">
  <autoFilter ref="G2:R60" xr:uid="{9E53E405-29D0-47B5-B58D-C27497988ED2}"/>
  <tableColumns count="12">
    <tableColumn id="10" xr3:uid="{819FC4E1-1731-4BC3-A993-3AB531D75793}" name="lp" dataDxfId="49">
      <calculatedColumnFormula>ROW()-ROW(Tabela_główna[[#Headers],[lp]])</calculatedColumnFormula>
    </tableColumn>
    <tableColumn id="1" xr3:uid="{34B946B9-9E14-49CD-AD14-6D246079C860}" name="element" dataDxfId="48"/>
    <tableColumn id="9" xr3:uid="{A93BDEF6-A1D0-49E0-8B3B-6AFA588811F5}" name="grupa" dataDxfId="47"/>
    <tableColumn id="8" xr3:uid="{315E6873-9655-4CA3-A600-3A05AF162172}" name="Pole wyboru" dataDxfId="46"/>
    <tableColumn id="2" xr3:uid="{D382AFE4-BE82-4C02-94D8-4D8406C23F28}" name="wlk" dataDxfId="45">
      <calculatedColumnFormula>lista_przewodów!$O$3</calculatedColumnFormula>
    </tableColumn>
    <tableColumn id="3" xr3:uid="{242910F5-022F-4702-9685-85930874A795}" name="index" dataDxfId="44"/>
    <tableColumn id="14" xr3:uid="{C53F1124-8E8E-4D4B-8311-674D362F5FED}" name="Rozdzielnia (A) - wyjscie z koryta (n), m" dataDxfId="43">
      <calculatedColumnFormula>VLOOKUP(Tabela_główna[[#This Row],[index]],$AF$3:$AG$57,2,0)/1000</calculatedColumnFormula>
    </tableColumn>
    <tableColumn id="4" xr3:uid="{773C546E-B0D0-431D-9F13-B7F511ECEEE8}" name="wyjscie z koryta - element, mm" dataDxfId="42">
      <calculatedColumnFormula>$AI$3+$AK$3</calculatedColumnFormula>
    </tableColumn>
    <tableColumn id="5" xr3:uid="{C04D252D-844B-461A-80F8-CB400A8580C2}" name="zapas IN, mm" dataDxfId="41"/>
    <tableColumn id="6" xr3:uid="{5557D4DF-B435-443F-9794-03D304896B3A}" name="zapas OUT, mm" dataDxfId="40"/>
    <tableColumn id="12" xr3:uid="{35A27C82-7451-48F0-8912-CA14872C4728}" name="Typ kabla" dataDxfId="39"/>
    <tableColumn id="7" xr3:uid="{1A208CD4-A253-4681-B34E-AB8705CF7C65}" name="Suma, m" dataDxfId="38">
      <calculatedColumnFormula>(Tabela_główna[[#This Row],[zapas IN, mm]]+Tabela_główna[[#This Row],[wyjscie z koryta - element, mm]]+Tabela_główna[[#This Row],[zapas OUT, mm]]+VLOOKUP(Tabela_główna[[#This Row],[index]],$AF$3:$AG$15,2,FALSE))/1000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ADEC00-3739-47C1-8A72-EA80CD47B295}" name="Nitka" displayName="Nitka" ref="Z2:Z26" totalsRowShown="0" headerRowDxfId="37" dataDxfId="35" headerRowBorderDxfId="36" tableBorderDxfId="34" totalsRowBorderDxfId="33">
  <autoFilter ref="Z2:Z26" xr:uid="{D9ADEC00-3739-47C1-8A72-EA80CD47B295}"/>
  <tableColumns count="1">
    <tableColumn id="1" xr3:uid="{2E937DBF-E4F8-42D4-BCEF-15E02A64CFA0}" name="nitka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526425-C117-4FF0-9A63-917AA1A530A5}" name="Index" displayName="Index" ref="AE2:AG57" totalsRowShown="0">
  <autoFilter ref="AE2:AG57" xr:uid="{57526425-C117-4FF0-9A63-917AA1A530A5}"/>
  <tableColumns count="3">
    <tableColumn id="1" xr3:uid="{72A52ED4-2988-405A-96A4-20B5113FBD9C}" name="wlk"/>
    <tableColumn id="3" xr3:uid="{64258085-56B3-4222-A06E-6E95C7FED09E}" name="Po długości"/>
    <tableColumn id="2" xr3:uid="{62AD9493-3892-4302-9DD7-619A325309FC}" name="m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D2E24C-4170-4586-906A-E821A8E0C1E7}" name="obliczenia_B" displayName="obliczenia_B" ref="AH2:AI4" totalsRowShown="0">
  <autoFilter ref="AH2:AI4" xr:uid="{5CD2E24C-4170-4586-906A-E821A8E0C1E7}"/>
  <tableColumns count="2">
    <tableColumn id="1" xr3:uid="{64F0C661-626F-47AB-ABF9-0F194C562AF9}" name="Po szerekości"/>
    <tableColumn id="2" xr3:uid="{DA0DAC4B-3A8D-4A33-B6D5-F19DFDBF77A2}" name="m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0E3AB4-2498-40C7-B0DD-66669787C937}" name="obliczenia_H" displayName="obliczenia_H" ref="AJ2:AK4" totalsRowShown="0">
  <autoFilter ref="AJ2:AK4" xr:uid="{F20E3AB4-2498-40C7-B0DD-66669787C937}"/>
  <tableColumns count="2">
    <tableColumn id="1" xr3:uid="{22454F1D-A112-4EFB-AEAE-1FF9F6E76711}" name="Po wysokości"/>
    <tableColumn id="2" xr3:uid="{ED97F636-5FED-496F-BD4A-EB392233F695}" name="mm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A76CC7-A511-4E35-9C83-7FACBA5F4D25}" name="Element" displayName="Element" ref="AA2:AA27" totalsRowShown="0" headerRowDxfId="31" headerRowBorderDxfId="30">
  <autoFilter ref="AA2:AA27" xr:uid="{A4A76CC7-A511-4E35-9C83-7FACBA5F4D25}"/>
  <tableColumns count="1">
    <tableColumn id="1" xr3:uid="{093029A6-A3D9-4A7B-9912-95F05EC19645}" name="elemen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E94B-9936-4B19-A87B-41DC18ADD5A6}" name="Typ_kabla" displayName="Typ_kabla" ref="AB2:AB9" totalsRowShown="0" headerRowDxfId="29" dataDxfId="27" headerRowBorderDxfId="28" tableBorderDxfId="26" totalsRowBorderDxfId="25">
  <autoFilter ref="AB2:AB9" xr:uid="{6FC9E94B-9936-4B19-A87B-41DC18ADD5A6}"/>
  <tableColumns count="1">
    <tableColumn id="1" xr3:uid="{B43346F2-3FC7-4194-B1C1-3917B758EBDD}" name="typ kabla" dataDxfId="24">
      <calculatedColumnFormula>IFERROR(Index[](#REF!,MATCH(Tabela_główna[[#This Row],[element]],#REF!,0)),"")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C034566-AA5C-4141-97ED-49550803FD9C}" name="Wlk" displayName="Wlk" ref="AC2:AC9" totalsRowShown="0" headerRowDxfId="23" headerRowBorderDxfId="22" tableBorderDxfId="21" totalsRowBorderDxfId="20">
  <autoFilter ref="AC2:AC9" xr:uid="{DC034566-AA5C-4141-97ED-49550803FD9C}"/>
  <tableColumns count="1">
    <tableColumn id="1" xr3:uid="{FAFDD878-7A8C-4EE1-98A0-DA2AFFF4B1A3}" name="wlk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084AD90-8974-4A3B-B950-BBE98433C32A}" name="Konfigoracja" displayName="Konfigoracja" ref="T8:T18" totalsRowShown="0" headerRowBorderDxfId="18" tableBorderDxfId="17" totalsRowBorderDxfId="16">
  <autoFilter ref="T8:T18" xr:uid="{2084AD90-8974-4A3B-B950-BBE98433C32A}"/>
  <tableColumns count="1">
    <tableColumn id="1" xr3:uid="{1FDB52B7-084B-4EC8-B0AF-66CE2F3D21A8}" name="konfiguracja" dataDxfId="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64E5C9-7854-48D5-A9A7-4C1601A7DADC}" name="Nagrzewnica" displayName="Nagrzewnica" ref="U8:U23" totalsRowShown="0" headerRowBorderDxfId="14" tableBorderDxfId="13" totalsRowBorderDxfId="12">
  <autoFilter ref="U8:U23" xr:uid="{2564E5C9-7854-48D5-A9A7-4C1601A7DADC}"/>
  <tableColumns count="1">
    <tableColumn id="1" xr3:uid="{31790733-F53F-40D2-BD0D-1315B6115749}" name="Nagrzewnica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5F6597A-9F42-4C75-A097-43BAB290626A}" name="Wentylator" displayName="Wentylator" ref="V8:V20" totalsRowShown="0" dataDxfId="9" headerRowBorderDxfId="10" tableBorderDxfId="8" totalsRowBorderDxfId="7">
  <autoFilter ref="V8:V20" xr:uid="{15F6597A-9F42-4C75-A097-43BAB290626A}"/>
  <tableColumns count="1">
    <tableColumn id="1" xr3:uid="{DA1594EE-28A4-40B8-B2EF-A83CBF50C41F}" name="Wentylator" dataDxfId="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0BB3902-476D-4081-BF8D-CF9AFB3AE1E6}" name="Przepustnica_wyciąg" displayName="Przepustnica_wyciąg" ref="W8:W10" totalsRowShown="0" headerRowBorderDxfId="5" tableBorderDxfId="4" totalsRowBorderDxfId="3">
  <autoFilter ref="W8:W10" xr:uid="{10BB3902-476D-4081-BF8D-CF9AFB3AE1E6}"/>
  <tableColumns count="1">
    <tableColumn id="1" xr3:uid="{DB0A1797-3088-494E-8691-608E952CF288}" name="Przepustnica na Wyciągu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F4304DC-1B93-44DA-90E1-08DF36D8E8AA}" name="brak" displayName="brak" ref="X8:X10" totalsRowShown="0" headerRowBorderDxfId="2" tableBorderDxfId="1" totalsRowBorderDxfId="0">
  <autoFilter ref="X8:X10" xr:uid="{FF4304DC-1B93-44DA-90E1-08DF36D8E8AA}"/>
  <tableColumns count="1">
    <tableColumn id="1" xr3:uid="{A58FFEBF-A0D9-40D5-A1C9-83B7E12FE1D5}" name="Brak/Zam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FCF4-6793-4EE1-8BF4-B06D9256C7C4}">
  <sheetPr codeName="Arkusz2">
    <pageSetUpPr fitToPage="1"/>
  </sheetPr>
  <dimension ref="B1:R60"/>
  <sheetViews>
    <sheetView tabSelected="1" zoomScaleNormal="100" workbookViewId="0">
      <selection activeCell="O4" sqref="O4"/>
    </sheetView>
  </sheetViews>
  <sheetFormatPr defaultRowHeight="15" x14ac:dyDescent="0.25"/>
  <cols>
    <col min="1" max="1" width="9.140625" style="36"/>
    <col min="2" max="2" width="4.5703125" style="36" customWidth="1"/>
    <col min="3" max="3" width="7" style="42" customWidth="1"/>
    <col min="4" max="4" width="42.7109375" style="36" customWidth="1"/>
    <col min="5" max="5" width="13.7109375" style="36" customWidth="1"/>
    <col min="6" max="6" width="15.28515625" style="36" customWidth="1"/>
    <col min="7" max="7" width="11.85546875" style="42" customWidth="1"/>
    <col min="8" max="8" width="5.85546875" style="36" customWidth="1"/>
    <col min="9" max="9" width="12" style="36" customWidth="1"/>
    <col min="10" max="10" width="11.5703125" style="36" bestFit="1" customWidth="1"/>
    <col min="11" max="11" width="4.7109375" style="36" customWidth="1"/>
    <col min="12" max="13" width="9.140625" style="36"/>
    <col min="14" max="14" width="25.5703125" style="36" bestFit="1" customWidth="1"/>
    <col min="15" max="15" width="25.85546875" style="36" customWidth="1"/>
    <col min="16" max="16384" width="9.140625" style="36"/>
  </cols>
  <sheetData>
    <row r="1" spans="2:18" x14ac:dyDescent="0.25">
      <c r="B1" s="36" t="s">
        <v>144</v>
      </c>
      <c r="N1" s="36" t="s">
        <v>143</v>
      </c>
    </row>
    <row r="2" spans="2:18" ht="10.5" customHeight="1" x14ac:dyDescent="0.25">
      <c r="B2" s="39"/>
      <c r="C2" s="40"/>
      <c r="D2" s="39"/>
      <c r="E2" s="39"/>
      <c r="F2" s="39"/>
      <c r="G2" s="40"/>
      <c r="H2" s="39"/>
      <c r="I2" s="39"/>
      <c r="J2" s="39"/>
      <c r="K2" s="39"/>
      <c r="N2" s="28" t="s">
        <v>110</v>
      </c>
      <c r="O2" s="29" t="s">
        <v>107</v>
      </c>
    </row>
    <row r="3" spans="2:18" ht="22.5" customHeight="1" x14ac:dyDescent="0.4">
      <c r="B3" s="39"/>
      <c r="C3" s="46"/>
      <c r="D3" s="47" t="s">
        <v>145</v>
      </c>
      <c r="E3" s="48">
        <v>65555</v>
      </c>
      <c r="F3" s="46"/>
      <c r="G3" s="46"/>
      <c r="H3" s="39"/>
      <c r="I3" s="49" t="s">
        <v>112</v>
      </c>
      <c r="J3" s="49"/>
      <c r="K3" s="39"/>
      <c r="N3" s="24" t="s">
        <v>2</v>
      </c>
      <c r="O3" s="25" t="s">
        <v>25</v>
      </c>
    </row>
    <row r="4" spans="2:18" ht="15.75" x14ac:dyDescent="0.25">
      <c r="B4" s="39"/>
      <c r="C4" s="9" t="s">
        <v>0</v>
      </c>
      <c r="D4" s="34" t="s">
        <v>1</v>
      </c>
      <c r="E4" s="34" t="s">
        <v>2</v>
      </c>
      <c r="F4" s="35" t="s">
        <v>109</v>
      </c>
      <c r="G4" s="35" t="s">
        <v>108</v>
      </c>
      <c r="H4" s="39"/>
      <c r="I4" s="38" t="s">
        <v>109</v>
      </c>
      <c r="J4" s="38" t="s">
        <v>108</v>
      </c>
      <c r="K4" s="39"/>
      <c r="N4" s="24" t="s">
        <v>72</v>
      </c>
      <c r="O4" s="25" t="s">
        <v>76</v>
      </c>
    </row>
    <row r="5" spans="2:18" ht="15.75" x14ac:dyDescent="0.25">
      <c r="B5" s="39"/>
      <c r="C5" s="9">
        <v>1</v>
      </c>
      <c r="D5" s="9" t="s">
        <v>28</v>
      </c>
      <c r="E5" s="9" t="s">
        <v>25</v>
      </c>
      <c r="F5" s="43" t="s">
        <v>136</v>
      </c>
      <c r="G5" s="44">
        <v>2.3075000000000001</v>
      </c>
      <c r="H5" s="40"/>
      <c r="I5" s="9" t="s">
        <v>138</v>
      </c>
      <c r="J5" s="45">
        <v>6.7925000000000004</v>
      </c>
      <c r="K5" s="39"/>
      <c r="N5" s="24" t="s">
        <v>44</v>
      </c>
      <c r="O5" s="25" t="s">
        <v>83</v>
      </c>
    </row>
    <row r="6" spans="2:18" x14ac:dyDescent="0.25">
      <c r="B6" s="39"/>
      <c r="C6" s="9">
        <v>2</v>
      </c>
      <c r="D6" s="9" t="s">
        <v>40</v>
      </c>
      <c r="E6" s="9" t="s">
        <v>25</v>
      </c>
      <c r="F6" s="9" t="s">
        <v>136</v>
      </c>
      <c r="G6" s="45">
        <v>4.67</v>
      </c>
      <c r="H6" s="40"/>
      <c r="I6" s="9" t="s">
        <v>128</v>
      </c>
      <c r="J6" s="45">
        <v>3.7800000000000002</v>
      </c>
      <c r="K6" s="39"/>
      <c r="N6" s="24" t="s">
        <v>80</v>
      </c>
      <c r="O6" s="25" t="s">
        <v>117</v>
      </c>
    </row>
    <row r="7" spans="2:18" x14ac:dyDescent="0.25">
      <c r="B7" s="39"/>
      <c r="C7" s="9">
        <v>3</v>
      </c>
      <c r="D7" s="9" t="s">
        <v>51</v>
      </c>
      <c r="E7" s="9" t="s">
        <v>25</v>
      </c>
      <c r="F7" s="9" t="s">
        <v>137</v>
      </c>
      <c r="G7" s="45">
        <v>1.87</v>
      </c>
      <c r="H7" s="40"/>
      <c r="I7" t="s">
        <v>136</v>
      </c>
      <c r="J7" s="45">
        <v>10.495000000000001</v>
      </c>
      <c r="K7" s="39"/>
      <c r="N7" s="24" t="s">
        <v>81</v>
      </c>
      <c r="O7" s="25" t="s">
        <v>116</v>
      </c>
    </row>
    <row r="8" spans="2:18" x14ac:dyDescent="0.25">
      <c r="B8" s="39"/>
      <c r="C8" s="9">
        <v>4</v>
      </c>
      <c r="D8" s="9" t="s">
        <v>53</v>
      </c>
      <c r="E8" s="9" t="s">
        <v>25</v>
      </c>
      <c r="F8" s="9" t="s">
        <v>137</v>
      </c>
      <c r="G8" s="45">
        <v>1.1924999999999999</v>
      </c>
      <c r="H8" s="40"/>
      <c r="I8" s="9" t="s">
        <v>137</v>
      </c>
      <c r="J8" s="45">
        <v>4.6550000000000002</v>
      </c>
      <c r="K8" s="39"/>
      <c r="N8" s="24" t="s">
        <v>100</v>
      </c>
      <c r="O8" s="25" t="s">
        <v>98</v>
      </c>
    </row>
    <row r="9" spans="2:18" x14ac:dyDescent="0.25">
      <c r="B9" s="39"/>
      <c r="C9" s="9">
        <v>5</v>
      </c>
      <c r="D9" s="9" t="s">
        <v>54</v>
      </c>
      <c r="E9" s="9" t="s">
        <v>25</v>
      </c>
      <c r="F9" s="9" t="s">
        <v>137</v>
      </c>
      <c r="G9" s="45">
        <v>1.5925</v>
      </c>
      <c r="H9" s="40"/>
      <c r="I9" s="9" t="s">
        <v>114</v>
      </c>
      <c r="J9" s="45">
        <v>3.7800000000000002</v>
      </c>
      <c r="K9" s="39"/>
      <c r="N9" s="24" t="s">
        <v>101</v>
      </c>
      <c r="O9" s="25" t="s">
        <v>102</v>
      </c>
    </row>
    <row r="10" spans="2:18" x14ac:dyDescent="0.25">
      <c r="B10" s="39"/>
      <c r="C10" s="9">
        <v>6</v>
      </c>
      <c r="D10" s="9" t="s">
        <v>55</v>
      </c>
      <c r="E10" s="9" t="s">
        <v>25</v>
      </c>
      <c r="F10" s="9" t="s">
        <v>138</v>
      </c>
      <c r="G10" s="45">
        <v>0.61250000000000004</v>
      </c>
      <c r="H10" s="40"/>
      <c r="I10" s="40"/>
      <c r="J10" s="40"/>
      <c r="K10" s="39"/>
      <c r="N10" s="24" t="s">
        <v>103</v>
      </c>
      <c r="O10" s="25" t="s">
        <v>102</v>
      </c>
    </row>
    <row r="11" spans="2:18" x14ac:dyDescent="0.25">
      <c r="B11" s="39"/>
      <c r="C11" s="9">
        <v>7</v>
      </c>
      <c r="D11" s="9" t="s">
        <v>56</v>
      </c>
      <c r="E11" s="9" t="s">
        <v>25</v>
      </c>
      <c r="F11" s="9" t="s">
        <v>138</v>
      </c>
      <c r="G11" s="45">
        <v>2.0975000000000001</v>
      </c>
      <c r="H11" s="40"/>
      <c r="I11" s="40"/>
      <c r="J11" s="40"/>
      <c r="K11" s="39"/>
      <c r="N11" s="24" t="s">
        <v>104</v>
      </c>
      <c r="O11" s="25" t="s">
        <v>102</v>
      </c>
    </row>
    <row r="12" spans="2:18" x14ac:dyDescent="0.25">
      <c r="B12" s="39"/>
      <c r="C12" s="9">
        <v>8</v>
      </c>
      <c r="D12" s="9" t="s">
        <v>57</v>
      </c>
      <c r="E12" s="9" t="s">
        <v>25</v>
      </c>
      <c r="F12" s="9" t="s">
        <v>138</v>
      </c>
      <c r="G12" s="45">
        <v>1.8</v>
      </c>
      <c r="H12" s="40"/>
      <c r="I12" s="40"/>
      <c r="J12" s="40"/>
      <c r="K12" s="39"/>
      <c r="N12" s="26" t="s">
        <v>105</v>
      </c>
      <c r="O12" s="25" t="s">
        <v>102</v>
      </c>
      <c r="R12" s="36" t="s">
        <v>142</v>
      </c>
    </row>
    <row r="13" spans="2:18" x14ac:dyDescent="0.25">
      <c r="B13" s="39"/>
      <c r="C13" s="9">
        <v>9</v>
      </c>
      <c r="D13" s="9" t="s">
        <v>58</v>
      </c>
      <c r="E13" s="9" t="s">
        <v>25</v>
      </c>
      <c r="F13" s="9" t="s">
        <v>136</v>
      </c>
      <c r="G13" s="45">
        <v>1.6</v>
      </c>
      <c r="H13" s="40"/>
      <c r="I13" s="40"/>
      <c r="J13" s="40"/>
      <c r="K13" s="39"/>
      <c r="N13" s="24"/>
      <c r="O13" s="25"/>
    </row>
    <row r="14" spans="2:18" x14ac:dyDescent="0.25">
      <c r="B14" s="39"/>
      <c r="C14" s="9">
        <v>10</v>
      </c>
      <c r="D14" s="9" t="s">
        <v>59</v>
      </c>
      <c r="E14" s="9" t="s">
        <v>25</v>
      </c>
      <c r="F14" s="9" t="s">
        <v>136</v>
      </c>
      <c r="G14" s="45">
        <v>1.9175</v>
      </c>
      <c r="H14" s="40"/>
      <c r="I14" s="40"/>
      <c r="J14" s="40"/>
      <c r="K14" s="39"/>
      <c r="N14" s="24"/>
      <c r="O14" s="25"/>
    </row>
    <row r="15" spans="2:18" x14ac:dyDescent="0.25">
      <c r="B15" s="39"/>
      <c r="C15" s="9">
        <v>11</v>
      </c>
      <c r="D15" s="9" t="s">
        <v>61</v>
      </c>
      <c r="E15" s="9" t="s">
        <v>25</v>
      </c>
      <c r="F15" s="9" t="s">
        <v>114</v>
      </c>
      <c r="G15" s="45">
        <v>1.9175</v>
      </c>
      <c r="H15" s="40"/>
      <c r="I15" s="40"/>
      <c r="J15" s="40"/>
      <c r="K15" s="39"/>
      <c r="N15" s="26"/>
      <c r="O15" s="27"/>
    </row>
    <row r="16" spans="2:18" x14ac:dyDescent="0.25">
      <c r="B16" s="39"/>
      <c r="C16" s="9">
        <v>12</v>
      </c>
      <c r="D16" s="9" t="s">
        <v>63</v>
      </c>
      <c r="E16" s="9" t="s">
        <v>25</v>
      </c>
      <c r="F16" s="9" t="s">
        <v>114</v>
      </c>
      <c r="G16" s="45">
        <v>1.8625</v>
      </c>
      <c r="H16" s="40"/>
      <c r="I16" s="40"/>
      <c r="J16" s="40"/>
      <c r="K16" s="39"/>
    </row>
    <row r="17" spans="2:11" x14ac:dyDescent="0.25">
      <c r="B17" s="39"/>
      <c r="C17" s="9">
        <v>13</v>
      </c>
      <c r="D17" s="9" t="s">
        <v>60</v>
      </c>
      <c r="E17" s="9" t="s">
        <v>25</v>
      </c>
      <c r="F17" s="9" t="s">
        <v>128</v>
      </c>
      <c r="G17" s="45">
        <v>1.9175</v>
      </c>
      <c r="H17" s="40"/>
      <c r="I17" s="40"/>
      <c r="J17" s="40"/>
      <c r="K17" s="39"/>
    </row>
    <row r="18" spans="2:11" x14ac:dyDescent="0.25">
      <c r="B18" s="39"/>
      <c r="C18" s="9">
        <v>14</v>
      </c>
      <c r="D18" s="9" t="s">
        <v>62</v>
      </c>
      <c r="E18" s="9" t="s">
        <v>25</v>
      </c>
      <c r="F18" s="9" t="s">
        <v>128</v>
      </c>
      <c r="G18" s="45">
        <v>1.8625</v>
      </c>
      <c r="H18" s="40"/>
      <c r="I18" s="40"/>
      <c r="J18" s="40"/>
      <c r="K18" s="39"/>
    </row>
    <row r="19" spans="2:11" x14ac:dyDescent="0.25">
      <c r="B19" s="39"/>
      <c r="C19" s="9">
        <v>15</v>
      </c>
      <c r="D19" s="9" t="s">
        <v>127</v>
      </c>
      <c r="E19" s="9" t="s">
        <v>25</v>
      </c>
      <c r="F19" s="9" t="s">
        <v>138</v>
      </c>
      <c r="G19" s="45">
        <v>2.2825000000000002</v>
      </c>
      <c r="H19" s="40"/>
      <c r="I19" s="40"/>
      <c r="J19" s="40"/>
      <c r="K19" s="39"/>
    </row>
    <row r="20" spans="2:11" x14ac:dyDescent="0.25">
      <c r="B20" s="39"/>
      <c r="C20" s="40"/>
      <c r="D20" s="40"/>
      <c r="E20" s="40"/>
      <c r="F20" s="40"/>
      <c r="G20" s="40"/>
      <c r="H20" s="40"/>
      <c r="I20" s="40"/>
      <c r="J20" s="40"/>
      <c r="K20" s="39"/>
    </row>
    <row r="21" spans="2:11" x14ac:dyDescent="0.25">
      <c r="B21" s="39"/>
      <c r="C21" s="40"/>
      <c r="D21" s="40"/>
      <c r="E21" s="40"/>
      <c r="F21" s="40"/>
      <c r="G21" s="40"/>
      <c r="H21" s="40"/>
      <c r="I21" s="40"/>
      <c r="J21" s="40"/>
      <c r="K21" s="39"/>
    </row>
    <row r="22" spans="2:11" x14ac:dyDescent="0.25">
      <c r="B22" s="39"/>
      <c r="C22" s="40"/>
      <c r="D22" s="40"/>
      <c r="E22" s="40"/>
      <c r="F22" s="40"/>
      <c r="G22" s="40"/>
      <c r="H22" s="40"/>
      <c r="I22" s="40"/>
      <c r="J22" s="40"/>
      <c r="K22" s="39"/>
    </row>
    <row r="23" spans="2:11" x14ac:dyDescent="0.25">
      <c r="B23" s="39"/>
      <c r="C23" s="40"/>
      <c r="D23" s="40"/>
      <c r="E23" s="40"/>
      <c r="F23" s="40"/>
      <c r="G23" s="40"/>
      <c r="H23" s="40"/>
      <c r="I23" s="40"/>
      <c r="J23" s="40"/>
      <c r="K23" s="39"/>
    </row>
    <row r="24" spans="2:11" x14ac:dyDescent="0.25">
      <c r="B24" s="39"/>
      <c r="C24" s="40"/>
      <c r="D24" s="40"/>
      <c r="E24" s="40"/>
      <c r="F24" s="40"/>
      <c r="G24" s="40"/>
      <c r="H24" s="40"/>
      <c r="I24" s="40"/>
      <c r="J24" s="40"/>
      <c r="K24" s="39"/>
    </row>
    <row r="25" spans="2:11" x14ac:dyDescent="0.25">
      <c r="B25" s="39"/>
      <c r="C25" s="40"/>
      <c r="D25" s="40"/>
      <c r="E25" s="40"/>
      <c r="F25" s="40"/>
      <c r="G25" s="40"/>
      <c r="H25" s="39"/>
      <c r="I25" s="40"/>
      <c r="J25" s="40"/>
      <c r="K25" s="39"/>
    </row>
    <row r="26" spans="2:11" x14ac:dyDescent="0.25">
      <c r="B26" s="39"/>
      <c r="C26" s="40"/>
      <c r="D26" s="40"/>
      <c r="E26" s="40"/>
      <c r="F26" s="40"/>
      <c r="G26" s="40"/>
      <c r="H26" s="39"/>
      <c r="I26" s="40"/>
      <c r="J26" s="40"/>
      <c r="K26" s="39"/>
    </row>
    <row r="27" spans="2:11" x14ac:dyDescent="0.25">
      <c r="B27" s="39"/>
      <c r="C27" s="40"/>
      <c r="D27" s="40"/>
      <c r="E27" s="40"/>
      <c r="F27" s="40"/>
      <c r="G27" s="40"/>
      <c r="H27" s="39"/>
      <c r="I27" s="40"/>
      <c r="J27" s="40"/>
      <c r="K27" s="39"/>
    </row>
    <row r="28" spans="2:11" x14ac:dyDescent="0.25">
      <c r="B28" s="39"/>
      <c r="C28" s="40"/>
      <c r="D28" s="40"/>
      <c r="E28" s="40"/>
      <c r="F28" s="40"/>
      <c r="G28" s="40"/>
      <c r="H28" s="39"/>
      <c r="I28" s="40"/>
      <c r="J28" s="40"/>
      <c r="K28" s="39"/>
    </row>
    <row r="29" spans="2:11" x14ac:dyDescent="0.25">
      <c r="B29" s="39"/>
      <c r="C29" s="40"/>
      <c r="D29" s="40"/>
      <c r="E29" s="40"/>
      <c r="F29" s="40"/>
      <c r="G29" s="40"/>
      <c r="H29" s="39"/>
      <c r="I29" s="40"/>
      <c r="J29" s="40"/>
      <c r="K29" s="39"/>
    </row>
    <row r="30" spans="2:11" x14ac:dyDescent="0.25">
      <c r="B30" s="39"/>
      <c r="C30" s="40"/>
      <c r="D30" s="40"/>
      <c r="E30" s="40"/>
      <c r="F30" s="40"/>
      <c r="G30" s="40"/>
      <c r="H30" s="39"/>
      <c r="I30" s="40"/>
      <c r="J30" s="40"/>
      <c r="K30" s="39"/>
    </row>
    <row r="31" spans="2:11" x14ac:dyDescent="0.25">
      <c r="B31" s="39"/>
      <c r="C31" s="40"/>
      <c r="D31" s="40"/>
      <c r="E31" s="40"/>
      <c r="F31" s="40"/>
      <c r="G31" s="40"/>
      <c r="H31" s="39"/>
      <c r="I31" s="40"/>
      <c r="J31" s="40"/>
      <c r="K31" s="39"/>
    </row>
    <row r="32" spans="2:11" x14ac:dyDescent="0.25">
      <c r="C32" s="36"/>
      <c r="G32" s="36"/>
    </row>
    <row r="33" s="36" customFormat="1" x14ac:dyDescent="0.25"/>
    <row r="34" s="36" customFormat="1" x14ac:dyDescent="0.25"/>
    <row r="35" s="36" customFormat="1" x14ac:dyDescent="0.25"/>
    <row r="36" s="36" customFormat="1" x14ac:dyDescent="0.25"/>
    <row r="37" s="36" customFormat="1" x14ac:dyDescent="0.25"/>
    <row r="38" s="36" customFormat="1" x14ac:dyDescent="0.25"/>
    <row r="39" s="36" customFormat="1" x14ac:dyDescent="0.25"/>
    <row r="40" s="36" customFormat="1" x14ac:dyDescent="0.25"/>
    <row r="41" s="36" customFormat="1" x14ac:dyDescent="0.25"/>
    <row r="42" s="36" customFormat="1" x14ac:dyDescent="0.25"/>
    <row r="43" s="36" customFormat="1" x14ac:dyDescent="0.25"/>
    <row r="44" s="36" customFormat="1" x14ac:dyDescent="0.25"/>
    <row r="45" s="36" customFormat="1" x14ac:dyDescent="0.25"/>
    <row r="46" s="36" customFormat="1" x14ac:dyDescent="0.25"/>
    <row r="47" s="36" customFormat="1" x14ac:dyDescent="0.25"/>
    <row r="48" s="36" customFormat="1" x14ac:dyDescent="0.25"/>
    <row r="49" spans="2:11" x14ac:dyDescent="0.25">
      <c r="C49" s="36"/>
      <c r="G49" s="36"/>
    </row>
    <row r="50" spans="2:11" x14ac:dyDescent="0.25">
      <c r="C50" s="36"/>
      <c r="G50" s="36"/>
    </row>
    <row r="51" spans="2:11" x14ac:dyDescent="0.25">
      <c r="C51" s="36"/>
      <c r="G51" s="36"/>
    </row>
    <row r="52" spans="2:11" x14ac:dyDescent="0.25">
      <c r="C52" s="36"/>
      <c r="G52" s="36"/>
    </row>
    <row r="53" spans="2:11" x14ac:dyDescent="0.25">
      <c r="C53" s="36"/>
      <c r="G53" s="36"/>
    </row>
    <row r="54" spans="2:11" x14ac:dyDescent="0.25">
      <c r="C54" s="36"/>
      <c r="G54" s="36"/>
    </row>
    <row r="55" spans="2:11" x14ac:dyDescent="0.25">
      <c r="C55" s="36"/>
      <c r="G55" s="36"/>
    </row>
    <row r="56" spans="2:11" x14ac:dyDescent="0.25">
      <c r="C56" s="36"/>
      <c r="G56" s="36"/>
    </row>
    <row r="57" spans="2:11" x14ac:dyDescent="0.25">
      <c r="C57" s="36"/>
      <c r="G57" s="36"/>
    </row>
    <row r="58" spans="2:11" x14ac:dyDescent="0.25">
      <c r="C58" s="36"/>
      <c r="G58" s="36"/>
    </row>
    <row r="59" spans="2:11" x14ac:dyDescent="0.25">
      <c r="C59" s="36"/>
      <c r="G59" s="36"/>
    </row>
    <row r="60" spans="2:11" x14ac:dyDescent="0.25">
      <c r="B60" s="37"/>
      <c r="K60" s="37"/>
    </row>
  </sheetData>
  <mergeCells count="1">
    <mergeCell ref="I3:J3"/>
  </mergeCells>
  <phoneticPr fontId="3" type="noConversion"/>
  <pageMargins left="0.25" right="0.25" top="0.75" bottom="0.75" header="0.3" footer="0.3"/>
  <pageSetup paperSize="9" scale="76" orientation="portrait" verticalDpi="0" r:id="rId1"/>
  <rowBreaks count="2" manualBreakCount="2">
    <brk id="27" min="1" max="10" man="1"/>
    <brk id="58" min="1" max="10" man="1"/>
  </rowBreaks>
  <colBreaks count="2" manualBreakCount="2">
    <brk id="8" min="1" max="58" man="1"/>
    <brk id="10" min="1" max="5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ujListe_PRO">
                <anchor moveWithCells="1" sizeWithCells="1">
                  <from>
                    <xdr:col>13</xdr:col>
                    <xdr:colOff>19050</xdr:colOff>
                    <xdr:row>16</xdr:row>
                    <xdr:rowOff>123825</xdr:rowOff>
                  </from>
                  <to>
                    <xdr:col>14</xdr:col>
                    <xdr:colOff>1362075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odgladDruku_PRO">
                <anchor moveWithCells="1" sizeWithCells="1">
                  <from>
                    <xdr:col>13</xdr:col>
                    <xdr:colOff>19050</xdr:colOff>
                    <xdr:row>20</xdr:row>
                    <xdr:rowOff>28575</xdr:rowOff>
                  </from>
                  <to>
                    <xdr:col>14</xdr:col>
                    <xdr:colOff>1390650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Drukuj_PRO">
                <anchor moveWithCells="1" sizeWithCells="1">
                  <from>
                    <xdr:col>13</xdr:col>
                    <xdr:colOff>28575</xdr:colOff>
                    <xdr:row>23</xdr:row>
                    <xdr:rowOff>85725</xdr:rowOff>
                  </from>
                  <to>
                    <xdr:col>14</xdr:col>
                    <xdr:colOff>1381125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ysujSchematWExcelu">
                <anchor moveWithCells="1" sizeWithCells="1">
                  <from>
                    <xdr:col>12</xdr:col>
                    <xdr:colOff>571500</xdr:colOff>
                    <xdr:row>27</xdr:row>
                    <xdr:rowOff>47625</xdr:rowOff>
                  </from>
                  <to>
                    <xdr:col>14</xdr:col>
                    <xdr:colOff>1428750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1C0B3C07-374E-4E52-9634-E6844AFCA6AD}">
          <x14:formula1>
            <xm:f>Tabeli!$V$9:$V$20</xm:f>
          </x14:formula1>
          <xm:sqref>O6:O7</xm:sqref>
        </x14:dataValidation>
        <x14:dataValidation type="list" allowBlank="1" showInputMessage="1" showErrorMessage="1" xr:uid="{B3D610B4-4779-491C-BD9A-3453B0E1CF99}">
          <x14:formula1>
            <xm:f>Tabeli!$W$9:$W$10</xm:f>
          </x14:formula1>
          <xm:sqref>O8</xm:sqref>
        </x14:dataValidation>
        <x14:dataValidation type="list" allowBlank="1" showInputMessage="1" showErrorMessage="1" xr:uid="{15258B31-3903-49A6-BCB1-4AFF343208ED}">
          <x14:formula1>
            <xm:f>Tabeli!$U$9:$U$23</xm:f>
          </x14:formula1>
          <xm:sqref>O5</xm:sqref>
        </x14:dataValidation>
        <x14:dataValidation type="list" allowBlank="1" showInputMessage="1" showErrorMessage="1" xr:uid="{2520E9AF-998B-4D36-AFA8-5E59150FE636}">
          <x14:formula1>
            <xm:f>Tabeli!$T$9:$T$18</xm:f>
          </x14:formula1>
          <xm:sqref>O4</xm:sqref>
        </x14:dataValidation>
        <x14:dataValidation type="list" allowBlank="1" showInputMessage="1" showErrorMessage="1" xr:uid="{ED9B76F9-8D48-409B-8CE7-A0A272E0B530}">
          <x14:formula1>
            <xm:f>Tabeli!$AC$3:$AC$9</xm:f>
          </x14:formula1>
          <xm:sqref>O3</xm:sqref>
        </x14:dataValidation>
        <x14:dataValidation type="list" allowBlank="1" showInputMessage="1" showErrorMessage="1" xr:uid="{0FCEBDF2-78F5-4267-8CD5-DE70C28C3C44}">
          <x14:formula1>
            <xm:f>Tabeli!$X$9:$X$10</xm:f>
          </x14:formula1>
          <xm:sqref>O9:O12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1:AP60"/>
  <sheetViews>
    <sheetView zoomScale="85" zoomScaleNormal="85" workbookViewId="0">
      <selection activeCell="P52" sqref="P52"/>
    </sheetView>
  </sheetViews>
  <sheetFormatPr defaultRowHeight="15" outlineLevelCol="1" x14ac:dyDescent="0.25"/>
  <cols>
    <col min="1" max="1" width="6.140625" customWidth="1"/>
    <col min="2" max="2" width="27.28515625" bestFit="1" customWidth="1"/>
    <col min="3" max="3" width="21.140625" bestFit="1" customWidth="1"/>
    <col min="4" max="4" width="9.85546875" customWidth="1"/>
    <col min="5" max="5" width="5.28515625" customWidth="1"/>
    <col min="6" max="6" width="5" customWidth="1"/>
    <col min="7" max="7" width="5.5703125" customWidth="1"/>
    <col min="8" max="8" width="40.5703125" bestFit="1" customWidth="1"/>
    <col min="9" max="9" width="29.42578125" customWidth="1"/>
    <col min="10" max="10" width="68.5703125" customWidth="1"/>
    <col min="11" max="11" width="10.7109375" customWidth="1"/>
    <col min="12" max="12" width="8.28515625" bestFit="1" customWidth="1"/>
    <col min="13" max="13" width="15.85546875" customWidth="1"/>
    <col min="14" max="14" width="18.28515625" customWidth="1" outlineLevel="1"/>
    <col min="15" max="15" width="8.5703125" customWidth="1" outlineLevel="1"/>
    <col min="16" max="16" width="9.7109375" customWidth="1" outlineLevel="1"/>
    <col min="17" max="19" width="12.28515625" customWidth="1"/>
    <col min="20" max="20" width="28.42578125" bestFit="1" customWidth="1"/>
    <col min="21" max="21" width="18.85546875" bestFit="1" customWidth="1"/>
    <col min="22" max="22" width="39.28515625" customWidth="1"/>
    <col min="23" max="23" width="25.28515625" customWidth="1"/>
    <col min="24" max="24" width="12.28515625" customWidth="1"/>
    <col min="25" max="25" width="12.85546875" customWidth="1"/>
    <col min="26" max="26" width="18.7109375" customWidth="1"/>
    <col min="27" max="27" width="39.85546875" bestFit="1" customWidth="1"/>
    <col min="28" max="28" width="11.42578125" bestFit="1" customWidth="1"/>
    <col min="29" max="29" width="13" customWidth="1"/>
    <col min="32" max="32" width="13.5703125" bestFit="1" customWidth="1"/>
    <col min="33" max="33" width="12.42578125" customWidth="1"/>
    <col min="34" max="34" width="15.5703125" customWidth="1"/>
    <col min="35" max="35" width="12.42578125" bestFit="1" customWidth="1"/>
    <col min="36" max="36" width="15.140625" bestFit="1" customWidth="1"/>
    <col min="37" max="37" width="12.42578125" bestFit="1" customWidth="1"/>
    <col min="39" max="39" width="11.7109375" bestFit="1" customWidth="1"/>
  </cols>
  <sheetData>
    <row r="1" spans="7:42" ht="19.5" customHeight="1" x14ac:dyDescent="0.25"/>
    <row r="2" spans="7:42" ht="30.75" customHeight="1" x14ac:dyDescent="0.25">
      <c r="G2" s="9" t="s">
        <v>0</v>
      </c>
      <c r="H2" s="34" t="s">
        <v>1</v>
      </c>
      <c r="I2" s="34" t="s">
        <v>110</v>
      </c>
      <c r="J2" s="34" t="s">
        <v>113</v>
      </c>
      <c r="K2" s="34" t="s">
        <v>2</v>
      </c>
      <c r="L2" s="11" t="s">
        <v>3</v>
      </c>
      <c r="M2" s="11" t="s">
        <v>4</v>
      </c>
      <c r="N2" s="12" t="s">
        <v>5</v>
      </c>
      <c r="O2" s="12" t="s">
        <v>6</v>
      </c>
      <c r="P2" s="12" t="s">
        <v>7</v>
      </c>
      <c r="Q2" s="15" t="s">
        <v>109</v>
      </c>
      <c r="R2" s="15" t="s">
        <v>108</v>
      </c>
      <c r="T2" s="9" t="s">
        <v>65</v>
      </c>
      <c r="Z2" s="2" t="s">
        <v>8</v>
      </c>
      <c r="AA2" s="2" t="s">
        <v>1</v>
      </c>
      <c r="AB2" s="2" t="s">
        <v>9</v>
      </c>
      <c r="AC2" s="2" t="s">
        <v>2</v>
      </c>
      <c r="AE2" t="s">
        <v>2</v>
      </c>
      <c r="AF2" t="s">
        <v>10</v>
      </c>
      <c r="AG2" t="s">
        <v>11</v>
      </c>
      <c r="AH2" t="s">
        <v>12</v>
      </c>
      <c r="AI2" t="s">
        <v>11</v>
      </c>
      <c r="AJ2" t="s">
        <v>13</v>
      </c>
      <c r="AK2" t="s">
        <v>11</v>
      </c>
      <c r="AM2" s="17" t="s">
        <v>66</v>
      </c>
      <c r="AN2" s="17" t="s">
        <v>67</v>
      </c>
      <c r="AO2" s="17" t="s">
        <v>68</v>
      </c>
      <c r="AP2" s="17" t="s">
        <v>69</v>
      </c>
    </row>
    <row r="3" spans="7:42" ht="18.75" x14ac:dyDescent="0.3">
      <c r="G3" s="9">
        <f>ROW()-ROW(Tabela_główna[[#Headers],[lp]])</f>
        <v>1</v>
      </c>
      <c r="H3" s="1" t="s">
        <v>14</v>
      </c>
      <c r="I3" t="s">
        <v>72</v>
      </c>
      <c r="J3" t="str">
        <f>_xlfn.TEXTJOIN(" ; ",TRUE,T9:T11)</f>
        <v>Matka ; Matka+CH ; Matka+satelitka nietypowa</v>
      </c>
      <c r="K3" t="str">
        <f>lista_przewodów!$O$3</f>
        <v>BS-C-H-2</v>
      </c>
      <c r="L3" s="10" t="s">
        <v>16</v>
      </c>
      <c r="M3" s="16">
        <f>VLOOKUP(Tabela_główna[[#This Row],[index]],$AF$3:$AG$57,2,0)/1000</f>
        <v>0</v>
      </c>
      <c r="N3" s="13">
        <f>$AI$3+$AK$3</f>
        <v>562.5</v>
      </c>
      <c r="O3" s="14">
        <v>150</v>
      </c>
      <c r="P3" s="14">
        <v>150</v>
      </c>
      <c r="Q3" s="8" t="s">
        <v>136</v>
      </c>
      <c r="R3" s="8">
        <f>(Tabela_główna[[#This Row],[zapas IN, mm]]+Tabela_główna[[#This Row],[wyjscie z koryta - element, mm]]+Tabela_główna[[#This Row],[zapas OUT, mm]]+VLOOKUP(Tabela_główna[[#This Row],[index]],$AF$3:$AG$15,2,FALSE))/1000</f>
        <v>0.86250000000000004</v>
      </c>
      <c r="T3" s="23" t="s">
        <v>70</v>
      </c>
      <c r="U3" s="23" t="s">
        <v>71</v>
      </c>
      <c r="Z3" s="4" t="s">
        <v>17</v>
      </c>
      <c r="AA3" t="s">
        <v>14</v>
      </c>
      <c r="AB3" s="4" t="str">
        <f>IFERROR(INDEX(#REF!,MATCH(Tabela_główna[[#This Row],[element]],#REF!,0)),"")</f>
        <v/>
      </c>
      <c r="AC3" s="3" t="s">
        <v>18</v>
      </c>
      <c r="AE3" s="3" t="s">
        <v>18</v>
      </c>
      <c r="AF3" t="s">
        <v>19</v>
      </c>
      <c r="AG3">
        <v>340</v>
      </c>
      <c r="AH3" t="s">
        <v>20</v>
      </c>
      <c r="AI3">
        <f>($T$4-100)/2</f>
        <v>350</v>
      </c>
      <c r="AJ3" t="s">
        <v>21</v>
      </c>
      <c r="AK3" s="7">
        <f>($U$4-100-50)/2/2</f>
        <v>212.5</v>
      </c>
      <c r="AM3" s="18" t="s">
        <v>18</v>
      </c>
      <c r="AN3" s="19">
        <v>1750</v>
      </c>
      <c r="AO3" s="20">
        <v>600</v>
      </c>
      <c r="AP3" s="20">
        <v>800</v>
      </c>
    </row>
    <row r="4" spans="7:42" ht="18.75" x14ac:dyDescent="0.3">
      <c r="G4" s="9">
        <f>ROW()-ROW(Tabela_główna[[#Headers],[lp]])</f>
        <v>2</v>
      </c>
      <c r="H4" s="1" t="s">
        <v>22</v>
      </c>
      <c r="I4" t="s">
        <v>72</v>
      </c>
      <c r="J4" t="str">
        <f>_xlfn.TEXTJOIN(" ; ",TRUE,T9,T12)</f>
        <v>Matka ; Matka+DB</v>
      </c>
      <c r="K4" t="str">
        <f>lista_przewodów!$O$3</f>
        <v>BS-C-H-2</v>
      </c>
      <c r="L4" s="10" t="s">
        <v>23</v>
      </c>
      <c r="M4" s="16">
        <f>VLOOKUP(Tabela_główna[[#This Row],[index]],$AF$3:$AG$57,2,0)/1000</f>
        <v>1.52</v>
      </c>
      <c r="N4" s="13">
        <f>$AI$3+$AK$3</f>
        <v>562.5</v>
      </c>
      <c r="O4" s="14">
        <v>150</v>
      </c>
      <c r="P4" s="14">
        <v>150</v>
      </c>
      <c r="Q4" s="8" t="s">
        <v>137</v>
      </c>
      <c r="R4" s="8">
        <f>(Tabela_główna[[#This Row],[zapas IN, mm]]+Tabela_główna[[#This Row],[wyjscie z koryta - element, mm]]+Tabela_główna[[#This Row],[zapas OUT, mm]]+VLOOKUP(Tabela_główna[[#This Row],[index]],$AF$3:$AG$15,2,FALSE))/1000</f>
        <v>2.3824999999999998</v>
      </c>
      <c r="T4" s="22">
        <f>VLOOKUP(lista_przewodów!$O$3,$AM$3:$AP$9,3,FALSE)</f>
        <v>800</v>
      </c>
      <c r="U4" s="22">
        <f>VLOOKUP(lista_przewodów!$O$3,$AM$3:$AP$9,4,FALSE)</f>
        <v>1000</v>
      </c>
      <c r="Z4" s="3" t="s">
        <v>24</v>
      </c>
      <c r="AA4" t="s">
        <v>22</v>
      </c>
      <c r="AB4" s="3" t="str">
        <f>IFERROR(INDEX(#REF!,MATCH(Tabela_główna[[#This Row],[element]],#REF!,0)),"")</f>
        <v/>
      </c>
      <c r="AC4" s="3" t="s">
        <v>25</v>
      </c>
      <c r="AE4" s="3" t="s">
        <v>18</v>
      </c>
      <c r="AF4" t="s">
        <v>26</v>
      </c>
      <c r="AG4">
        <v>1000</v>
      </c>
      <c r="AH4" t="s">
        <v>27</v>
      </c>
      <c r="AI4">
        <v>100</v>
      </c>
      <c r="AM4" s="21" t="s">
        <v>25</v>
      </c>
      <c r="AN4" s="19">
        <v>1950</v>
      </c>
      <c r="AO4" s="20">
        <v>800</v>
      </c>
      <c r="AP4" s="20">
        <v>1000</v>
      </c>
    </row>
    <row r="5" spans="7:42" ht="18.75" x14ac:dyDescent="0.3">
      <c r="G5" s="9">
        <f>ROW()-ROW(Tabela_główna[[#Headers],[lp]])</f>
        <v>3</v>
      </c>
      <c r="H5" s="1" t="s">
        <v>28</v>
      </c>
      <c r="I5" t="s">
        <v>72</v>
      </c>
      <c r="J5" t="str">
        <f>_xlfn.TEXTJOIN(" ; ",TRUE,T9:T13)</f>
        <v>Matka ; Matka+CH ; Matka+satelitka nietypowa ; Matka+DB ; Matka+DB+CH</v>
      </c>
      <c r="K5" t="str">
        <f>lista_przewodów!$O$3</f>
        <v>BS-C-H-2</v>
      </c>
      <c r="L5" s="10" t="s">
        <v>29</v>
      </c>
      <c r="M5" s="16">
        <f>VLOOKUP(Tabela_główna[[#This Row],[index]],$AF$3:$AG$57,2,0)/1000</f>
        <v>1.4450000000000001</v>
      </c>
      <c r="N5" s="13">
        <f>$AI$3+$AK$3</f>
        <v>562.5</v>
      </c>
      <c r="O5" s="14">
        <v>150</v>
      </c>
      <c r="P5" s="14">
        <v>150</v>
      </c>
      <c r="Q5" s="8" t="s">
        <v>136</v>
      </c>
      <c r="R5" s="8">
        <f>(Tabela_główna[[#This Row],[zapas IN, mm]]+Tabela_główna[[#This Row],[wyjscie z koryta - element, mm]]+Tabela_główna[[#This Row],[zapas OUT, mm]]+VLOOKUP(Tabela_główna[[#This Row],[index]],$AF$3:$AG$15,2,FALSE))/1000</f>
        <v>2.3075000000000001</v>
      </c>
      <c r="Z5" s="4" t="s">
        <v>30</v>
      </c>
      <c r="AA5" t="s">
        <v>28</v>
      </c>
      <c r="AB5" s="4" t="str">
        <f>IFERROR(INDEX(#REF!,MATCH(Tabela_główna[[#This Row],[element]],#REF!,0)),"")</f>
        <v/>
      </c>
      <c r="AC5" s="3" t="s">
        <v>15</v>
      </c>
      <c r="AE5" s="3" t="s">
        <v>18</v>
      </c>
      <c r="AF5" t="s">
        <v>31</v>
      </c>
      <c r="AG5">
        <v>1055</v>
      </c>
      <c r="AM5" s="18" t="s">
        <v>15</v>
      </c>
      <c r="AN5" s="19">
        <v>1950</v>
      </c>
      <c r="AO5" s="20">
        <v>1200</v>
      </c>
      <c r="AP5" s="20">
        <v>1000</v>
      </c>
    </row>
    <row r="6" spans="7:42" ht="18.75" x14ac:dyDescent="0.3">
      <c r="G6" s="9">
        <f>ROW()-ROW(Tabela_główna[[#Headers],[lp]])</f>
        <v>4</v>
      </c>
      <c r="H6" s="1" t="s">
        <v>40</v>
      </c>
      <c r="I6" t="s">
        <v>72</v>
      </c>
      <c r="J6" t="str">
        <f>_xlfn.TEXTJOIN(" ; ",TRUE,T9:T10,T12:T13)</f>
        <v>Matka ; Matka+CH ; Matka+DB ; Matka+DB+CH</v>
      </c>
      <c r="K6" t="str">
        <f>lista_przewodów!$O$3</f>
        <v>BS-C-H-2</v>
      </c>
      <c r="L6" s="10" t="s">
        <v>23</v>
      </c>
      <c r="M6" s="16">
        <f>VLOOKUP(Tabela_główna[[#This Row],[index]],$AF$3:$AG$57,2,0)/1000</f>
        <v>1.52</v>
      </c>
      <c r="N6" s="13">
        <v>3000</v>
      </c>
      <c r="O6" s="14">
        <v>150</v>
      </c>
      <c r="P6" s="14"/>
      <c r="Q6" s="8" t="s">
        <v>136</v>
      </c>
      <c r="R6" s="8">
        <f>(Tabela_główna[[#This Row],[zapas IN, mm]]+Tabela_główna[[#This Row],[wyjscie z koryta - element, mm]]+Tabela_główna[[#This Row],[zapas OUT, mm]]+VLOOKUP(Tabela_główna[[#This Row],[index]],$AF$3:$AG$15,2,FALSE))/1000</f>
        <v>4.67</v>
      </c>
      <c r="W6" s="14"/>
      <c r="X6" s="14"/>
      <c r="Z6" s="3" t="s">
        <v>33</v>
      </c>
      <c r="AA6" t="s">
        <v>32</v>
      </c>
      <c r="AB6" s="3" t="str">
        <f>IFERROR(INDEX(#REF!,MATCH(Tabela_główna[[#This Row],[element]],#REF!,0)),"")</f>
        <v/>
      </c>
      <c r="AC6" s="3" t="s">
        <v>34</v>
      </c>
      <c r="AE6" s="3" t="s">
        <v>18</v>
      </c>
      <c r="AF6" t="s">
        <v>35</v>
      </c>
      <c r="AG6">
        <v>1235</v>
      </c>
      <c r="AM6" s="21" t="s">
        <v>34</v>
      </c>
      <c r="AN6" s="19">
        <v>2450</v>
      </c>
      <c r="AO6" s="20">
        <v>1200</v>
      </c>
      <c r="AP6" s="20">
        <v>1200</v>
      </c>
    </row>
    <row r="7" spans="7:42" ht="18.75" x14ac:dyDescent="0.3">
      <c r="G7" s="9">
        <f>ROW()-ROW(Tabela_główna[[#Headers],[lp]])</f>
        <v>5</v>
      </c>
      <c r="H7" s="1" t="s">
        <v>43</v>
      </c>
      <c r="I7" t="s">
        <v>72</v>
      </c>
      <c r="K7" t="str">
        <f>lista_przewodów!$O$3</f>
        <v>BS-C-H-2</v>
      </c>
      <c r="L7" s="10" t="s">
        <v>23</v>
      </c>
      <c r="M7" s="16">
        <f>VLOOKUP(Tabela_główna[[#This Row],[index]],$AF$3:$AG$57,2,0)/1000</f>
        <v>1.52</v>
      </c>
      <c r="N7" s="13">
        <v>3000</v>
      </c>
      <c r="O7" s="14">
        <v>150</v>
      </c>
      <c r="P7" s="14"/>
      <c r="Q7" s="8" t="s">
        <v>136</v>
      </c>
      <c r="R7" s="8">
        <f>(Tabela_główna[[#This Row],[zapas IN, mm]]+Tabela_główna[[#This Row],[wyjscie z koryta - element, mm]]+Tabela_główna[[#This Row],[zapas OUT, mm]]+VLOOKUP(Tabela_główna[[#This Row],[index]],$AF$3:$AG$15,2,FALSE))/1000</f>
        <v>4.67</v>
      </c>
      <c r="Z7" s="4" t="s">
        <v>37</v>
      </c>
      <c r="AA7" t="s">
        <v>36</v>
      </c>
      <c r="AB7" s="4" t="str">
        <f>IFERROR(INDEX(#REF!,MATCH(Tabela_główna[[#This Row],[element]],#REF!,0)),"")</f>
        <v/>
      </c>
      <c r="AC7" s="3" t="s">
        <v>38</v>
      </c>
      <c r="AE7" s="3" t="s">
        <v>18</v>
      </c>
      <c r="AF7" t="s">
        <v>39</v>
      </c>
      <c r="AG7">
        <v>1270</v>
      </c>
      <c r="AM7" s="18" t="s">
        <v>38</v>
      </c>
      <c r="AN7" s="20">
        <v>2450</v>
      </c>
      <c r="AO7" s="20">
        <v>1400</v>
      </c>
      <c r="AP7" s="20">
        <v>1200</v>
      </c>
    </row>
    <row r="8" spans="7:42" ht="18.75" x14ac:dyDescent="0.3">
      <c r="G8" s="9">
        <f>ROW()-ROW(Tabela_główna[[#Headers],[lp]])</f>
        <v>6</v>
      </c>
      <c r="H8" s="1" t="s">
        <v>46</v>
      </c>
      <c r="I8" t="s">
        <v>72</v>
      </c>
      <c r="J8" t="str">
        <f>_xlfn.TEXTJOIN(";",TRUE,T9:T11)</f>
        <v>Matka;Matka+CH;Matka+satelitka nietypowa</v>
      </c>
      <c r="K8" t="str">
        <f>lista_przewodów!$O$3</f>
        <v>BS-C-H-2</v>
      </c>
      <c r="L8" s="10" t="s">
        <v>16</v>
      </c>
      <c r="M8" s="16">
        <f>VLOOKUP(Tabela_główna[[#This Row],[index]],$AF$3:$AG$57,2,0)/1000</f>
        <v>0</v>
      </c>
      <c r="N8" s="13"/>
      <c r="O8" s="14"/>
      <c r="P8" s="14"/>
      <c r="Q8" s="8" t="s">
        <v>137</v>
      </c>
      <c r="R8" s="8">
        <f>(Tabela_główna[[#This Row],[zapas IN, mm]]+Tabela_główna[[#This Row],[wyjscie z koryta - element, mm]]+Tabela_główna[[#This Row],[zapas OUT, mm]]+VLOOKUP(Tabela_główna[[#This Row],[index]],$AF$3:$AG$15,2,FALSE))/1000</f>
        <v>0</v>
      </c>
      <c r="T8" s="32" t="s">
        <v>72</v>
      </c>
      <c r="U8" s="32" t="s">
        <v>44</v>
      </c>
      <c r="V8" s="32" t="s">
        <v>97</v>
      </c>
      <c r="W8" s="32" t="s">
        <v>100</v>
      </c>
      <c r="X8" s="32" t="s">
        <v>106</v>
      </c>
      <c r="Z8" s="3" t="s">
        <v>41</v>
      </c>
      <c r="AA8" t="s">
        <v>40</v>
      </c>
      <c r="AB8" s="3" t="str">
        <f>IFERROR(INDEX(#REF!,MATCH(Tabela_główna[[#This Row],[element]],#REF!,0)),"")</f>
        <v/>
      </c>
      <c r="AC8" s="3" t="s">
        <v>42</v>
      </c>
      <c r="AE8" s="3" t="s">
        <v>18</v>
      </c>
      <c r="AF8" t="s">
        <v>29</v>
      </c>
      <c r="AG8">
        <v>1445</v>
      </c>
      <c r="AM8" s="21" t="s">
        <v>42</v>
      </c>
      <c r="AN8" s="19">
        <v>2600</v>
      </c>
      <c r="AO8" s="20">
        <v>1600</v>
      </c>
      <c r="AP8" s="20">
        <v>1410</v>
      </c>
    </row>
    <row r="9" spans="7:42" ht="18.75" x14ac:dyDescent="0.3">
      <c r="G9" s="9">
        <f>ROW()-ROW(Tabela_główna[[#Headers],[lp]])</f>
        <v>7</v>
      </c>
      <c r="H9" s="1" t="s">
        <v>49</v>
      </c>
      <c r="I9" t="s">
        <v>100</v>
      </c>
      <c r="J9" t="s">
        <v>99</v>
      </c>
      <c r="K9" t="str">
        <f>lista_przewodów!$O$3</f>
        <v>BS-C-H-2</v>
      </c>
      <c r="L9" s="10" t="s">
        <v>23</v>
      </c>
      <c r="M9" s="16">
        <f>VLOOKUP(Tabela_główna[[#This Row],[index]],$AF$3:$AG$57,2,0)/1000</f>
        <v>1.52</v>
      </c>
      <c r="N9" s="13"/>
      <c r="O9" s="14">
        <v>150</v>
      </c>
      <c r="P9" s="14">
        <v>150</v>
      </c>
      <c r="Q9" s="8" t="s">
        <v>137</v>
      </c>
      <c r="R9" s="8">
        <f>(Tabela_główna[[#This Row],[zapas IN, mm]]+Tabela_główna[[#This Row],[wyjscie z koryta - element, mm]]+Tabela_główna[[#This Row],[zapas OUT, mm]]+VLOOKUP(Tabela_główna[[#This Row],[index]],$AF$3:$AG$15,2,FALSE))/1000</f>
        <v>1.82</v>
      </c>
      <c r="T9" s="31" t="s">
        <v>74</v>
      </c>
      <c r="U9" s="31" t="s">
        <v>82</v>
      </c>
      <c r="V9" s="31" t="s">
        <v>115</v>
      </c>
      <c r="W9" s="31" t="s">
        <v>98</v>
      </c>
      <c r="X9" s="31" t="s">
        <v>82</v>
      </c>
      <c r="Z9" s="4" t="s">
        <v>44</v>
      </c>
      <c r="AA9" t="s">
        <v>43</v>
      </c>
      <c r="AB9" s="30" t="str">
        <f>IFERROR(INDEX(#REF!,MATCH(Tabela_główna[[#This Row],[element]],#REF!,0)),"")</f>
        <v/>
      </c>
      <c r="AC9" s="5" t="s">
        <v>45</v>
      </c>
      <c r="AE9" s="3" t="s">
        <v>18</v>
      </c>
      <c r="AF9" t="s">
        <v>23</v>
      </c>
      <c r="AG9">
        <v>1520</v>
      </c>
      <c r="AM9" s="18" t="s">
        <v>45</v>
      </c>
      <c r="AN9" s="20">
        <v>2850</v>
      </c>
      <c r="AO9" s="20">
        <v>1600</v>
      </c>
      <c r="AP9" s="20">
        <v>1800</v>
      </c>
    </row>
    <row r="10" spans="7:42" ht="15.75" x14ac:dyDescent="0.25">
      <c r="G10" s="9">
        <f>ROW()-ROW(Tabela_główna[[#Headers],[lp]])</f>
        <v>8</v>
      </c>
      <c r="H10" s="1" t="s">
        <v>51</v>
      </c>
      <c r="I10" t="s">
        <v>100</v>
      </c>
      <c r="J10" t="s">
        <v>98</v>
      </c>
      <c r="K10" t="str">
        <f>lista_przewodów!$O$3</f>
        <v>BS-C-H-2</v>
      </c>
      <c r="L10" s="10" t="s">
        <v>23</v>
      </c>
      <c r="M10" s="16">
        <f>VLOOKUP(Tabela_główna[[#This Row],[index]],$AF$3:$AG$57,2,0)/1000</f>
        <v>1.52</v>
      </c>
      <c r="N10" s="13"/>
      <c r="O10" s="14">
        <v>150</v>
      </c>
      <c r="P10" s="14">
        <v>200</v>
      </c>
      <c r="Q10" s="8" t="s">
        <v>137</v>
      </c>
      <c r="R10" s="8">
        <f>(Tabela_główna[[#This Row],[zapas IN, mm]]+Tabela_główna[[#This Row],[wyjscie z koryta - element, mm]]+Tabela_główna[[#This Row],[zapas OUT, mm]]+VLOOKUP(Tabela_główna[[#This Row],[index]],$AF$3:$AG$15,2,FALSE))/1000</f>
        <v>1.87</v>
      </c>
      <c r="T10" s="31" t="s">
        <v>73</v>
      </c>
      <c r="U10" s="31" t="s">
        <v>83</v>
      </c>
      <c r="V10" s="31" t="s">
        <v>116</v>
      </c>
      <c r="W10" s="33" t="s">
        <v>99</v>
      </c>
      <c r="X10" s="33" t="s">
        <v>102</v>
      </c>
      <c r="Z10" s="5" t="s">
        <v>47</v>
      </c>
      <c r="AA10" t="s">
        <v>46</v>
      </c>
      <c r="AB10" s="5" t="str">
        <f>IFERROR(INDEX(#REF!,MATCH(Tabela_główna[[#This Row],[element]],#REF!,0)),"")</f>
        <v/>
      </c>
      <c r="AC10" s="3"/>
      <c r="AE10" s="3" t="s">
        <v>18</v>
      </c>
      <c r="AF10" t="s">
        <v>48</v>
      </c>
      <c r="AG10">
        <v>900</v>
      </c>
    </row>
    <row r="11" spans="7:42" ht="15.75" x14ac:dyDescent="0.25">
      <c r="G11" s="9">
        <f>ROW()-ROW(Tabela_główna[[#Headers],[lp]])</f>
        <v>9</v>
      </c>
      <c r="H11" s="1" t="s">
        <v>53</v>
      </c>
      <c r="I11" t="s">
        <v>111</v>
      </c>
      <c r="K11" t="str">
        <f>lista_przewodów!$O$3</f>
        <v>BS-C-H-2</v>
      </c>
      <c r="L11" s="10" t="s">
        <v>50</v>
      </c>
      <c r="M11" s="16">
        <f>VLOOKUP(Tabela_główna[[#This Row],[index]],$AF$3:$AG$57,2,0)/1000</f>
        <v>0.33</v>
      </c>
      <c r="N11" s="13">
        <f>$AI$3+$AK$3</f>
        <v>562.5</v>
      </c>
      <c r="O11" s="14">
        <v>150</v>
      </c>
      <c r="P11" s="14">
        <v>150</v>
      </c>
      <c r="Q11" s="8" t="s">
        <v>137</v>
      </c>
      <c r="R11" s="8">
        <f>(Tabela_główna[[#This Row],[zapas IN, mm]]+Tabela_główna[[#This Row],[wyjscie z koryta - element, mm]]+Tabela_główna[[#This Row],[zapas OUT, mm]]+VLOOKUP(Tabela_główna[[#This Row],[index]],$AF$3:$AG$15,2,FALSE))/1000</f>
        <v>1.1924999999999999</v>
      </c>
      <c r="T11" s="31" t="s">
        <v>75</v>
      </c>
      <c r="U11" s="31" t="s">
        <v>84</v>
      </c>
      <c r="V11" s="31" t="s">
        <v>117</v>
      </c>
      <c r="Z11" s="3"/>
      <c r="AA11" t="s">
        <v>49</v>
      </c>
      <c r="AB11" s="3" t="str">
        <f>IFERROR(INDEX(#REF!,MATCH(Tabela_główna[[#This Row],[element]],#REF!,0)),"")</f>
        <v/>
      </c>
      <c r="AC11" s="3"/>
      <c r="AE11" s="3" t="s">
        <v>18</v>
      </c>
      <c r="AF11" t="s">
        <v>50</v>
      </c>
      <c r="AG11">
        <v>330</v>
      </c>
    </row>
    <row r="12" spans="7:42" ht="15.75" x14ac:dyDescent="0.25">
      <c r="G12" s="9">
        <f>ROW()-ROW(Tabela_główna[[#Headers],[lp]])</f>
        <v>10</v>
      </c>
      <c r="H12" s="1" t="s">
        <v>54</v>
      </c>
      <c r="I12" t="s">
        <v>101</v>
      </c>
      <c r="J12" t="s">
        <v>102</v>
      </c>
      <c r="K12" t="str">
        <f>lista_przewodów!$O$3</f>
        <v>BS-C-H-2</v>
      </c>
      <c r="L12" s="10" t="s">
        <v>52</v>
      </c>
      <c r="M12" s="16">
        <f>VLOOKUP(Tabela_główna[[#This Row],[index]],$AF$3:$AG$57,2,0)/1000</f>
        <v>0.73</v>
      </c>
      <c r="N12" s="13">
        <f>$AI$3+$AK$3</f>
        <v>562.5</v>
      </c>
      <c r="O12" s="14">
        <v>150</v>
      </c>
      <c r="P12" s="14">
        <v>150</v>
      </c>
      <c r="Q12" s="8" t="s">
        <v>137</v>
      </c>
      <c r="R12" s="8">
        <f>(Tabela_główna[[#This Row],[zapas IN, mm]]+Tabela_główna[[#This Row],[wyjscie z koryta - element, mm]]+Tabela_główna[[#This Row],[zapas OUT, mm]]+VLOOKUP(Tabela_główna[[#This Row],[index]],$AF$3:$AG$15,2,FALSE))/1000</f>
        <v>1.5925</v>
      </c>
      <c r="T12" s="31" t="s">
        <v>133</v>
      </c>
      <c r="U12" s="31" t="s">
        <v>85</v>
      </c>
      <c r="V12" s="31" t="s">
        <v>118</v>
      </c>
      <c r="Z12" s="3"/>
      <c r="AA12" t="s">
        <v>51</v>
      </c>
      <c r="AB12" s="3" t="str">
        <f>IFERROR(INDEX(#REF!,MATCH(Tabela_główna[[#This Row],[element]],#REF!,0)),"")</f>
        <v/>
      </c>
      <c r="AC12" s="3"/>
      <c r="AE12" s="3" t="s">
        <v>18</v>
      </c>
      <c r="AF12" t="s">
        <v>52</v>
      </c>
      <c r="AG12">
        <v>730</v>
      </c>
    </row>
    <row r="13" spans="7:42" ht="15.75" x14ac:dyDescent="0.25">
      <c r="G13" s="9">
        <f>ROW()-ROW(Tabela_główna[[#Headers],[lp]])</f>
        <v>11</v>
      </c>
      <c r="H13" s="1" t="s">
        <v>55</v>
      </c>
      <c r="I13" t="s">
        <v>103</v>
      </c>
      <c r="J13" t="s">
        <v>102</v>
      </c>
      <c r="K13" t="str">
        <f>lista_przewodów!$O$3</f>
        <v>BS-C-H-2</v>
      </c>
      <c r="L13" s="10" t="s">
        <v>16</v>
      </c>
      <c r="M13" s="16">
        <f>VLOOKUP(Tabela_główna[[#This Row],[index]],$AF$3:$AG$57,2,0)/1000</f>
        <v>0</v>
      </c>
      <c r="N13" s="13">
        <f>$AI$4+$AK$3</f>
        <v>312.5</v>
      </c>
      <c r="O13" s="14">
        <v>150</v>
      </c>
      <c r="P13" s="14">
        <v>150</v>
      </c>
      <c r="Q13" s="8" t="s">
        <v>138</v>
      </c>
      <c r="R13" s="8">
        <f>(Tabela_główna[[#This Row],[zapas IN, mm]]+Tabela_główna[[#This Row],[wyjscie z koryta - element, mm]]+Tabela_główna[[#This Row],[zapas OUT, mm]]+VLOOKUP(Tabela_główna[[#This Row],[index]],$AF$3:$AG$15,2,FALSE))/1000</f>
        <v>0.61250000000000004</v>
      </c>
      <c r="T13" s="31" t="s">
        <v>134</v>
      </c>
      <c r="U13" s="31" t="s">
        <v>86</v>
      </c>
      <c r="V13" s="31" t="s">
        <v>119</v>
      </c>
      <c r="Z13" s="3"/>
      <c r="AA13" t="s">
        <v>53</v>
      </c>
      <c r="AB13" s="3" t="str">
        <f>IFERROR(INDEX(#REF!,MATCH(Tabela_główna[[#This Row],[element]],#REF!,0)),"")</f>
        <v/>
      </c>
      <c r="AC13" s="3"/>
      <c r="AE13" s="3" t="s">
        <v>18</v>
      </c>
      <c r="AF13" t="s">
        <v>16</v>
      </c>
      <c r="AG13">
        <v>0</v>
      </c>
    </row>
    <row r="14" spans="7:42" ht="15.75" x14ac:dyDescent="0.25">
      <c r="G14" s="9">
        <f>ROW()-ROW(Tabela_główna[[#Headers],[lp]])</f>
        <v>12</v>
      </c>
      <c r="H14" s="1" t="s">
        <v>56</v>
      </c>
      <c r="I14" t="s">
        <v>103</v>
      </c>
      <c r="J14" t="s">
        <v>102</v>
      </c>
      <c r="K14" t="str">
        <f>lista_przewodów!$O$3</f>
        <v>BS-C-H-2</v>
      </c>
      <c r="L14" s="10" t="s">
        <v>35</v>
      </c>
      <c r="M14" s="16">
        <f>VLOOKUP(Tabela_główna[[#This Row],[index]],$AF$3:$AG$57,2,0)/1000</f>
        <v>1.2350000000000001</v>
      </c>
      <c r="N14" s="13">
        <f>$AI$3+$AK$3</f>
        <v>562.5</v>
      </c>
      <c r="O14" s="14">
        <v>150</v>
      </c>
      <c r="P14" s="14">
        <v>150</v>
      </c>
      <c r="Q14" s="8" t="s">
        <v>138</v>
      </c>
      <c r="R14" s="8">
        <f>(Tabela_główna[[#This Row],[zapas IN, mm]]+Tabela_główna[[#This Row],[wyjscie z koryta - element, mm]]+Tabela_główna[[#This Row],[zapas OUT, mm]]+VLOOKUP(Tabela_główna[[#This Row],[index]],$AF$3:$AG$15,2,FALSE))/1000</f>
        <v>2.0975000000000001</v>
      </c>
      <c r="T14" s="31" t="s">
        <v>135</v>
      </c>
      <c r="U14" s="31" t="s">
        <v>87</v>
      </c>
      <c r="V14" s="31" t="s">
        <v>121</v>
      </c>
      <c r="Z14" s="3"/>
      <c r="AA14" t="s">
        <v>54</v>
      </c>
      <c r="AB14" s="3" t="str">
        <f>IFERROR(INDEX(#REF!,MATCH(Tabela_główna[[#This Row],[element]],#REF!,0)),"")</f>
        <v/>
      </c>
      <c r="AC14" s="3"/>
      <c r="AE14" s="3" t="s">
        <v>25</v>
      </c>
      <c r="AF14" t="s">
        <v>19</v>
      </c>
      <c r="AG14">
        <v>340</v>
      </c>
    </row>
    <row r="15" spans="7:42" ht="15.75" x14ac:dyDescent="0.25">
      <c r="G15" s="9">
        <f>ROW()-ROW(Tabela_główna[[#Headers],[lp]])</f>
        <v>13</v>
      </c>
      <c r="H15" s="1" t="s">
        <v>57</v>
      </c>
      <c r="I15" t="s">
        <v>104</v>
      </c>
      <c r="J15" t="s">
        <v>102</v>
      </c>
      <c r="K15" t="str">
        <f>lista_przewodów!$O$3</f>
        <v>BS-C-H-2</v>
      </c>
      <c r="L15" s="10" t="s">
        <v>26</v>
      </c>
      <c r="M15" s="16">
        <f>VLOOKUP(Tabela_główna[[#This Row],[index]],$AF$3:$AG$57,2,0)/1000</f>
        <v>1</v>
      </c>
      <c r="N15" s="13">
        <v>500</v>
      </c>
      <c r="O15" s="14">
        <v>150</v>
      </c>
      <c r="P15" s="14">
        <v>150</v>
      </c>
      <c r="Q15" s="8" t="s">
        <v>138</v>
      </c>
      <c r="R15" s="8">
        <f>(Tabela_główna[[#This Row],[zapas IN, mm]]+Tabela_główna[[#This Row],[wyjscie z koryta - element, mm]]+Tabela_główna[[#This Row],[zapas OUT, mm]]+VLOOKUP(Tabela_główna[[#This Row],[index]],$AF$3:$AG$15,2,FALSE))/1000</f>
        <v>1.8</v>
      </c>
      <c r="T15" s="31" t="s">
        <v>76</v>
      </c>
      <c r="U15" s="31" t="s">
        <v>88</v>
      </c>
      <c r="V15" s="31" t="s">
        <v>122</v>
      </c>
      <c r="Z15" s="3"/>
      <c r="AA15" t="s">
        <v>55</v>
      </c>
      <c r="AB15" s="3" t="str">
        <f>IFERROR(INDEX(#REF!,MATCH(Tabela_główna[[#This Row],[element]],#REF!,0)),"")</f>
        <v/>
      </c>
      <c r="AC15" s="3"/>
      <c r="AE15" s="3" t="s">
        <v>25</v>
      </c>
      <c r="AF15" t="s">
        <v>26</v>
      </c>
      <c r="AG15">
        <v>1000</v>
      </c>
    </row>
    <row r="16" spans="7:42" ht="15.75" x14ac:dyDescent="0.25">
      <c r="G16" s="9">
        <f>ROW()-ROW(Tabela_główna[[#Headers],[lp]])</f>
        <v>14</v>
      </c>
      <c r="H16" s="1" t="s">
        <v>58</v>
      </c>
      <c r="I16" t="s">
        <v>105</v>
      </c>
      <c r="J16" t="s">
        <v>102</v>
      </c>
      <c r="K16" t="str">
        <f>lista_przewodów!$O$3</f>
        <v>BS-C-H-2</v>
      </c>
      <c r="L16" s="10" t="s">
        <v>26</v>
      </c>
      <c r="M16" s="16">
        <f>VLOOKUP(Tabela_główna[[#This Row],[index]],$AF$3:$AG$57,2,0)/1000</f>
        <v>1</v>
      </c>
      <c r="N16" s="13">
        <v>300</v>
      </c>
      <c r="O16" s="14">
        <v>150</v>
      </c>
      <c r="P16" s="14">
        <v>150</v>
      </c>
      <c r="Q16" s="8" t="s">
        <v>136</v>
      </c>
      <c r="R16" s="8">
        <f>(Tabela_główna[[#This Row],[zapas IN, mm]]+Tabela_główna[[#This Row],[wyjscie z koryta - element, mm]]+Tabela_główna[[#This Row],[zapas OUT, mm]]+VLOOKUP(Tabela_główna[[#This Row],[index]],$AF$3:$AG$15,2,FALSE))/1000</f>
        <v>1.6</v>
      </c>
      <c r="T16" s="31" t="s">
        <v>77</v>
      </c>
      <c r="U16" s="31" t="s">
        <v>89</v>
      </c>
      <c r="V16" s="31" t="s">
        <v>120</v>
      </c>
      <c r="Z16" s="5"/>
      <c r="AA16" t="s">
        <v>56</v>
      </c>
      <c r="AB16" s="5" t="str">
        <f>IFERROR(INDEX(#REF!,MATCH(Tabela_główna[[#This Row],[element]],#REF!,0)),"")</f>
        <v/>
      </c>
      <c r="AC16" s="5"/>
      <c r="AE16" s="3" t="s">
        <v>25</v>
      </c>
      <c r="AF16" t="s">
        <v>31</v>
      </c>
      <c r="AG16">
        <v>1055</v>
      </c>
    </row>
    <row r="17" spans="2:33" ht="15.75" x14ac:dyDescent="0.25">
      <c r="G17" s="9">
        <f>ROW()-ROW(Tabela_główna[[#Headers],[lp]])</f>
        <v>15</v>
      </c>
      <c r="H17" s="1" t="s">
        <v>59</v>
      </c>
      <c r="I17" t="s">
        <v>105</v>
      </c>
      <c r="J17" t="s">
        <v>102</v>
      </c>
      <c r="K17" t="str">
        <f>lista_przewodów!$O$3</f>
        <v>BS-C-H-2</v>
      </c>
      <c r="L17" s="10" t="s">
        <v>31</v>
      </c>
      <c r="M17" s="16">
        <f>VLOOKUP(Tabela_główna[[#This Row],[index]],$AF$3:$AG$57,2,0)/1000</f>
        <v>1.0549999999999999</v>
      </c>
      <c r="N17" s="13">
        <f t="shared" ref="N17:N58" si="0">$AI$3+$AK$3</f>
        <v>562.5</v>
      </c>
      <c r="O17" s="14">
        <v>150</v>
      </c>
      <c r="P17" s="14">
        <v>150</v>
      </c>
      <c r="Q17" s="8" t="s">
        <v>136</v>
      </c>
      <c r="R17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T17" s="31" t="s">
        <v>79</v>
      </c>
      <c r="U17" s="31" t="s">
        <v>90</v>
      </c>
      <c r="V17" s="31" t="s">
        <v>123</v>
      </c>
      <c r="Z17" s="3"/>
      <c r="AA17" t="s">
        <v>57</v>
      </c>
      <c r="AB17" s="3" t="str">
        <f>IFERROR(INDEX(#REF!,MATCH(Tabela_główna[[#This Row],[element]],#REF!,0)),"")</f>
        <v/>
      </c>
      <c r="AC17" s="3"/>
      <c r="AE17" s="3" t="s">
        <v>25</v>
      </c>
      <c r="AF17" t="s">
        <v>35</v>
      </c>
      <c r="AG17">
        <v>1235</v>
      </c>
    </row>
    <row r="18" spans="2:33" ht="15.75" x14ac:dyDescent="0.25">
      <c r="G18" s="9">
        <f>ROW()-ROW(Tabela_główna[[#Headers],[lp]])</f>
        <v>16</v>
      </c>
      <c r="H18" s="1" t="s">
        <v>61</v>
      </c>
      <c r="I18" t="s">
        <v>80</v>
      </c>
      <c r="J18" t="str">
        <f>_xlfn.TEXTJOIN(" ; ",TRUE,Wentylator[Wentylator])</f>
        <v>GR20V ; GR25C 0,5 kW (0,78kW) ; 2 x GR25C 0,5 kW (0,78kW) ; GR28C 0,78 kW ; GR31C 0,78 kW ; GR31C 1,35 kW ; GR31C 2,5 kW ; 2 x GR31C 1,35 kW ; 2 x GR31C 2,5 kW ; GR40C 3,9 kW ; GR50C 3,5 kW ; GR50C 5,4 kW</v>
      </c>
      <c r="K18" t="str">
        <f>lista_przewodów!$O$3</f>
        <v>BS-C-H-2</v>
      </c>
      <c r="L18" s="10" t="s">
        <v>31</v>
      </c>
      <c r="M18" s="16">
        <f>VLOOKUP(Tabela_główna[[#This Row],[index]],$AF$3:$AG$57,2,0)/1000</f>
        <v>1.0549999999999999</v>
      </c>
      <c r="N18" s="13">
        <f t="shared" si="0"/>
        <v>562.5</v>
      </c>
      <c r="O18" s="14">
        <v>150</v>
      </c>
      <c r="P18" s="14">
        <v>150</v>
      </c>
      <c r="Q18" s="8" t="s">
        <v>114</v>
      </c>
      <c r="R18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T18" s="33" t="s">
        <v>78</v>
      </c>
      <c r="U18" s="31" t="s">
        <v>91</v>
      </c>
      <c r="V18" s="31" t="s">
        <v>124</v>
      </c>
      <c r="Z18" s="3"/>
      <c r="AA18" t="s">
        <v>58</v>
      </c>
      <c r="AB18" s="3" t="str">
        <f>IFERROR(INDEX(#REF!,MATCH(Tabela_główna[[#This Row],[element]],#REF!,0)),"")</f>
        <v/>
      </c>
      <c r="AC18" s="3"/>
      <c r="AE18" s="3" t="s">
        <v>25</v>
      </c>
      <c r="AF18" t="s">
        <v>39</v>
      </c>
      <c r="AG18">
        <v>1270</v>
      </c>
    </row>
    <row r="19" spans="2:33" ht="15.75" x14ac:dyDescent="0.25">
      <c r="G19" s="9">
        <f>ROW()-ROW(Tabela_główna[[#Headers],[lp]])</f>
        <v>17</v>
      </c>
      <c r="H19" s="1" t="s">
        <v>63</v>
      </c>
      <c r="I19" t="s">
        <v>81</v>
      </c>
      <c r="J19" t="str">
        <f>_xlfn.TEXTJOIN(";",TRUE,Wentylator[Wentylator])</f>
        <v>GR20V;GR25C 0,5 kW (0,78kW);2 x GR25C 0,5 kW (0,78kW);GR28C 0,78 kW;GR31C 0,78 kW;GR31C 1,35 kW;GR31C 2,5 kW;2 x GR31C 1,35 kW;2 x GR31C 2,5 kW;GR40C 3,9 kW;GR50C 3,5 kW;GR50C 5,4 kW</v>
      </c>
      <c r="K19" t="str">
        <f>lista_przewodów!$O$3</f>
        <v>BS-C-H-2</v>
      </c>
      <c r="L19" s="10" t="s">
        <v>26</v>
      </c>
      <c r="M19" s="16">
        <f>VLOOKUP(Tabela_główna[[#This Row],[index]],$AF$3:$AG$57,2,0)/1000</f>
        <v>1</v>
      </c>
      <c r="N19" s="13">
        <f t="shared" si="0"/>
        <v>562.5</v>
      </c>
      <c r="O19" s="14">
        <v>150</v>
      </c>
      <c r="P19" s="14">
        <v>150</v>
      </c>
      <c r="Q19" s="8" t="s">
        <v>114</v>
      </c>
      <c r="R19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U19" s="31" t="s">
        <v>93</v>
      </c>
      <c r="V19" s="31" t="s">
        <v>125</v>
      </c>
      <c r="Z19" s="3"/>
      <c r="AA19" t="s">
        <v>59</v>
      </c>
      <c r="AB19" s="3" t="str">
        <f>IFERROR(INDEX(#REF!,MATCH(Tabela_główna[[#This Row],[element]],#REF!,0)),"")</f>
        <v/>
      </c>
      <c r="AC19" s="3"/>
      <c r="AE19" s="3" t="s">
        <v>25</v>
      </c>
      <c r="AF19" t="s">
        <v>29</v>
      </c>
      <c r="AG19">
        <v>1445</v>
      </c>
    </row>
    <row r="20" spans="2:33" ht="15.75" x14ac:dyDescent="0.25">
      <c r="G20" s="9">
        <f>ROW()-ROW(Tabela_główna[[#Headers],[lp]])</f>
        <v>18</v>
      </c>
      <c r="H20" s="1" t="s">
        <v>60</v>
      </c>
      <c r="I20" t="s">
        <v>80</v>
      </c>
      <c r="J20" t="s">
        <v>115</v>
      </c>
      <c r="K20" t="str">
        <f>lista_przewodów!$O$3</f>
        <v>BS-C-H-2</v>
      </c>
      <c r="L20" s="10" t="s">
        <v>31</v>
      </c>
      <c r="M20" s="16">
        <f>VLOOKUP(Tabela_główna[[#This Row],[index]],$AF$3:$AG$57,2,0)/1000</f>
        <v>1.0549999999999999</v>
      </c>
      <c r="N20" s="13">
        <f t="shared" si="0"/>
        <v>562.5</v>
      </c>
      <c r="O20" s="14">
        <v>150</v>
      </c>
      <c r="P20" s="14">
        <v>150</v>
      </c>
      <c r="Q20" s="8" t="s">
        <v>128</v>
      </c>
      <c r="R20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U20" s="31" t="s">
        <v>92</v>
      </c>
      <c r="V20" s="31" t="s">
        <v>126</v>
      </c>
      <c r="Z20" s="3"/>
      <c r="AA20" t="s">
        <v>60</v>
      </c>
      <c r="AB20" s="3" t="str">
        <f>IFERROR(INDEX(#REF!,MATCH(Tabela_główna[[#This Row],[element]],#REF!,0)),"")</f>
        <v/>
      </c>
      <c r="AC20" s="3"/>
      <c r="AE20" s="3" t="s">
        <v>25</v>
      </c>
      <c r="AF20" t="s">
        <v>23</v>
      </c>
      <c r="AG20">
        <v>1520</v>
      </c>
    </row>
    <row r="21" spans="2:33" ht="15.75" x14ac:dyDescent="0.25">
      <c r="G21" s="9">
        <f>ROW()-ROW(Tabela_główna[[#Headers],[lp]])</f>
        <v>19</v>
      </c>
      <c r="H21" s="1" t="s">
        <v>60</v>
      </c>
      <c r="I21" t="s">
        <v>80</v>
      </c>
      <c r="J21" t="s">
        <v>116</v>
      </c>
      <c r="K21" t="str">
        <f>lista_przewodów!$O$3</f>
        <v>BS-C-H-2</v>
      </c>
      <c r="L21" s="10" t="s">
        <v>31</v>
      </c>
      <c r="M21" s="16">
        <f>VLOOKUP(Tabela_główna[[#This Row],[index]],$AF$3:$AG$57,2,0)/1000</f>
        <v>1.0549999999999999</v>
      </c>
      <c r="N21" s="13">
        <f t="shared" si="0"/>
        <v>562.5</v>
      </c>
      <c r="O21" s="14">
        <v>150</v>
      </c>
      <c r="P21" s="14">
        <v>150</v>
      </c>
      <c r="Q21" s="8" t="s">
        <v>128</v>
      </c>
      <c r="R21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U21" s="31" t="s">
        <v>94</v>
      </c>
      <c r="V21" s="15"/>
      <c r="Z21" s="3"/>
      <c r="AA21" t="s">
        <v>61</v>
      </c>
      <c r="AB21" s="3" t="str">
        <f>IFERROR(INDEX(#REF!,MATCH(Tabela_główna[[#This Row],[element]],#REF!,0)),"")</f>
        <v/>
      </c>
      <c r="AC21" s="3"/>
      <c r="AE21" s="3" t="s">
        <v>25</v>
      </c>
      <c r="AF21" t="s">
        <v>48</v>
      </c>
      <c r="AG21">
        <v>900</v>
      </c>
    </row>
    <row r="22" spans="2:33" ht="15.75" x14ac:dyDescent="0.25">
      <c r="G22" s="9">
        <f>ROW()-ROW(Tabela_główna[[#Headers],[lp]])</f>
        <v>20</v>
      </c>
      <c r="H22" s="1" t="s">
        <v>60</v>
      </c>
      <c r="I22" t="s">
        <v>80</v>
      </c>
      <c r="J22" s="41" t="s">
        <v>141</v>
      </c>
      <c r="K22" t="str">
        <f>lista_przewodów!$O$3</f>
        <v>BS-C-H-2</v>
      </c>
      <c r="L22" s="10" t="s">
        <v>31</v>
      </c>
      <c r="M22" s="16">
        <f>VLOOKUP(Tabela_główna[[#This Row],[index]],$AF$3:$AG$57,2,0)/1000</f>
        <v>1.0549999999999999</v>
      </c>
      <c r="N22" s="13">
        <f t="shared" si="0"/>
        <v>562.5</v>
      </c>
      <c r="O22" s="14">
        <v>150</v>
      </c>
      <c r="P22" s="14">
        <v>150</v>
      </c>
      <c r="Q22" s="8" t="s">
        <v>128</v>
      </c>
      <c r="R22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U22" s="31" t="s">
        <v>95</v>
      </c>
      <c r="V22" s="15"/>
      <c r="Z22" s="3"/>
      <c r="AA22" t="s">
        <v>62</v>
      </c>
      <c r="AB22" s="3" t="str">
        <f>IFERROR(INDEX(#REF!,MATCH(Tabela_główna[[#This Row],[element]],#REF!,0)),"")</f>
        <v/>
      </c>
      <c r="AC22" s="3"/>
      <c r="AE22" s="3" t="s">
        <v>25</v>
      </c>
      <c r="AF22" t="s">
        <v>50</v>
      </c>
      <c r="AG22">
        <v>330</v>
      </c>
    </row>
    <row r="23" spans="2:33" ht="15.75" x14ac:dyDescent="0.25">
      <c r="G23" s="9">
        <f>ROW()-ROW(Tabela_główna[[#Headers],[lp]])</f>
        <v>21</v>
      </c>
      <c r="H23" s="1" t="s">
        <v>60</v>
      </c>
      <c r="I23" t="s">
        <v>80</v>
      </c>
      <c r="J23" t="s">
        <v>118</v>
      </c>
      <c r="K23" t="str">
        <f>lista_przewodów!$O$3</f>
        <v>BS-C-H-2</v>
      </c>
      <c r="L23" s="10" t="s">
        <v>31</v>
      </c>
      <c r="M23" s="16">
        <f>VLOOKUP(Tabela_główna[[#This Row],[index]],$AF$3:$AG$57,2,0)/1000</f>
        <v>1.0549999999999999</v>
      </c>
      <c r="N23" s="13">
        <f t="shared" si="0"/>
        <v>562.5</v>
      </c>
      <c r="O23" s="14">
        <v>150</v>
      </c>
      <c r="P23" s="14">
        <v>150</v>
      </c>
      <c r="Q23" s="8" t="s">
        <v>128</v>
      </c>
      <c r="R23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U23" s="33" t="s">
        <v>96</v>
      </c>
      <c r="V23" s="15"/>
      <c r="Z23" s="3"/>
      <c r="AA23" t="s">
        <v>63</v>
      </c>
      <c r="AB23" s="3" t="str">
        <f>IFERROR(INDEX(#REF!,MATCH(Tabela_główna[[#This Row],[element]],#REF!,0)),"")</f>
        <v/>
      </c>
      <c r="AC23" s="3"/>
      <c r="AE23" s="3" t="s">
        <v>25</v>
      </c>
      <c r="AF23" t="s">
        <v>52</v>
      </c>
      <c r="AG23">
        <v>730</v>
      </c>
    </row>
    <row r="24" spans="2:33" ht="15.75" x14ac:dyDescent="0.25">
      <c r="G24" s="9">
        <f>ROW()-ROW(Tabela_główna[[#Headers],[lp]])</f>
        <v>22</v>
      </c>
      <c r="H24" s="1" t="s">
        <v>60</v>
      </c>
      <c r="I24" t="s">
        <v>80</v>
      </c>
      <c r="J24" t="s">
        <v>119</v>
      </c>
      <c r="K24" t="str">
        <f>lista_przewodów!$O$3</f>
        <v>BS-C-H-2</v>
      </c>
      <c r="L24" s="10" t="s">
        <v>31</v>
      </c>
      <c r="M24" s="16">
        <f>VLOOKUP(Tabela_główna[[#This Row],[index]],$AF$3:$AG$57,2,0)/1000</f>
        <v>1.0549999999999999</v>
      </c>
      <c r="N24" s="13">
        <f t="shared" si="0"/>
        <v>562.5</v>
      </c>
      <c r="O24" s="14">
        <v>150</v>
      </c>
      <c r="P24" s="14">
        <v>150</v>
      </c>
      <c r="Q24" s="8" t="s">
        <v>128</v>
      </c>
      <c r="R24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Z24" s="5"/>
      <c r="AA24" t="s">
        <v>64</v>
      </c>
      <c r="AB24" s="5" t="str">
        <f>IFERROR(INDEX(#REF!,MATCH(Tabela_główna[[#This Row],[element]],#REF!,0)),"")</f>
        <v/>
      </c>
      <c r="AC24" s="5"/>
      <c r="AE24" s="3" t="s">
        <v>25</v>
      </c>
      <c r="AF24" t="s">
        <v>16</v>
      </c>
      <c r="AG24">
        <v>0</v>
      </c>
    </row>
    <row r="25" spans="2:33" ht="15.75" x14ac:dyDescent="0.25">
      <c r="G25" s="9">
        <f>ROW()-ROW(Tabela_główna[[#Headers],[lp]])</f>
        <v>23</v>
      </c>
      <c r="H25" s="1" t="s">
        <v>60</v>
      </c>
      <c r="I25" t="s">
        <v>80</v>
      </c>
      <c r="J25" t="s">
        <v>121</v>
      </c>
      <c r="K25" t="str">
        <f>lista_przewodów!$O$3</f>
        <v>BS-C-H-2</v>
      </c>
      <c r="L25" s="10" t="s">
        <v>31</v>
      </c>
      <c r="M25" s="16">
        <f>VLOOKUP(Tabela_główna[[#This Row],[index]],$AF$3:$AG$57,2,0)/1000</f>
        <v>1.0549999999999999</v>
      </c>
      <c r="N25" s="13">
        <f t="shared" si="0"/>
        <v>562.5</v>
      </c>
      <c r="O25" s="14">
        <v>150</v>
      </c>
      <c r="P25" s="14">
        <v>150</v>
      </c>
      <c r="Q25" s="8" t="s">
        <v>129</v>
      </c>
      <c r="R25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Z25" s="3"/>
      <c r="AA25" t="s">
        <v>131</v>
      </c>
      <c r="AB25" s="3" t="str">
        <f>IFERROR(INDEX(#REF!,MATCH(Tabela_główna[[#This Row],[element]],#REF!,0)),"")</f>
        <v/>
      </c>
      <c r="AC25" s="3"/>
      <c r="AE25" s="3" t="s">
        <v>15</v>
      </c>
      <c r="AF25" t="s">
        <v>19</v>
      </c>
      <c r="AG25">
        <v>340</v>
      </c>
    </row>
    <row r="26" spans="2:33" ht="15.75" x14ac:dyDescent="0.25">
      <c r="B26" s="15"/>
      <c r="C26" s="15"/>
      <c r="D26" s="15"/>
      <c r="E26" s="15"/>
      <c r="F26" s="15"/>
      <c r="G26" s="9">
        <f>ROW()-ROW(Tabela_główna[[#Headers],[lp]])</f>
        <v>24</v>
      </c>
      <c r="H26" s="1" t="s">
        <v>60</v>
      </c>
      <c r="I26" t="s">
        <v>80</v>
      </c>
      <c r="J26" t="s">
        <v>122</v>
      </c>
      <c r="K26" t="str">
        <f>lista_przewodów!$O$3</f>
        <v>BS-C-H-2</v>
      </c>
      <c r="L26" s="10" t="s">
        <v>31</v>
      </c>
      <c r="M26" s="16">
        <f>VLOOKUP(Tabela_główna[[#This Row],[index]],$AF$3:$AG$57,2,0)/1000</f>
        <v>1.0549999999999999</v>
      </c>
      <c r="N26" s="13">
        <f t="shared" si="0"/>
        <v>562.5</v>
      </c>
      <c r="O26" s="14">
        <v>150</v>
      </c>
      <c r="P26" s="14">
        <v>150</v>
      </c>
      <c r="Q26" s="8" t="s">
        <v>129</v>
      </c>
      <c r="R26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S26" s="15"/>
      <c r="T26" s="15"/>
      <c r="U26" s="15"/>
      <c r="V26" s="15"/>
      <c r="W26" s="15"/>
      <c r="X26" s="15"/>
      <c r="Z26" s="3"/>
      <c r="AA26" t="s">
        <v>132</v>
      </c>
      <c r="AB26" s="3" t="str">
        <f>IFERROR(INDEX(#REF!,MATCH(Tabela_główna[[#This Row],[element]],#REF!,0)),"")</f>
        <v/>
      </c>
      <c r="AC26" s="3"/>
      <c r="AE26" s="3" t="s">
        <v>15</v>
      </c>
      <c r="AF26" t="s">
        <v>26</v>
      </c>
      <c r="AG26">
        <v>1000</v>
      </c>
    </row>
    <row r="27" spans="2:33" ht="15.75" x14ac:dyDescent="0.25">
      <c r="B27" s="8"/>
      <c r="C27" s="8"/>
      <c r="D27" s="8"/>
      <c r="E27" s="8"/>
      <c r="F27" s="8"/>
      <c r="G27" s="9">
        <f>ROW()-ROW(Tabela_główna[[#Headers],[lp]])</f>
        <v>25</v>
      </c>
      <c r="H27" s="1" t="s">
        <v>139</v>
      </c>
      <c r="I27" t="s">
        <v>80</v>
      </c>
      <c r="J27" t="s">
        <v>120</v>
      </c>
      <c r="K27" t="str">
        <f>lista_przewodów!$O$3</f>
        <v>BS-C-H-2</v>
      </c>
      <c r="L27" s="10" t="s">
        <v>31</v>
      </c>
      <c r="M27" s="16">
        <f>VLOOKUP(Tabela_główna[[#This Row],[index]],$AF$3:$AG$57,2,0)/1000</f>
        <v>1.0549999999999999</v>
      </c>
      <c r="N27" s="13">
        <f t="shared" si="0"/>
        <v>562.5</v>
      </c>
      <c r="O27" s="14">
        <v>150</v>
      </c>
      <c r="P27" s="14">
        <v>150</v>
      </c>
      <c r="Q27" s="8" t="s">
        <v>129</v>
      </c>
      <c r="R27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S27" s="8"/>
      <c r="T27" s="8"/>
      <c r="U27" s="8"/>
      <c r="V27" s="8"/>
      <c r="W27" s="8"/>
      <c r="X27" s="8"/>
      <c r="AA27" t="s">
        <v>127</v>
      </c>
      <c r="AE27" s="3" t="s">
        <v>15</v>
      </c>
      <c r="AF27" t="s">
        <v>31</v>
      </c>
      <c r="AG27">
        <v>1055</v>
      </c>
    </row>
    <row r="28" spans="2:33" ht="15.75" x14ac:dyDescent="0.25">
      <c r="B28" s="8"/>
      <c r="C28" s="8"/>
      <c r="D28" s="8"/>
      <c r="E28" s="8"/>
      <c r="F28" s="8"/>
      <c r="G28" s="9">
        <f>ROW()-ROW(Tabela_główna[[#Headers],[lp]])</f>
        <v>26</v>
      </c>
      <c r="H28" s="1" t="s">
        <v>140</v>
      </c>
      <c r="I28" t="s">
        <v>80</v>
      </c>
      <c r="J28" t="s">
        <v>120</v>
      </c>
      <c r="K28" t="str">
        <f>lista_przewodów!$O$3</f>
        <v>BS-C-H-2</v>
      </c>
      <c r="L28" s="10" t="s">
        <v>31</v>
      </c>
      <c r="M28" s="16">
        <f>VLOOKUP(Tabela_główna[[#This Row],[index]],$AF$3:$AG$57,2,0)/1000</f>
        <v>1.0549999999999999</v>
      </c>
      <c r="N28" s="13">
        <f t="shared" si="0"/>
        <v>562.5</v>
      </c>
      <c r="O28" s="14">
        <v>150</v>
      </c>
      <c r="P28" s="14">
        <v>150</v>
      </c>
      <c r="Q28" s="8" t="s">
        <v>129</v>
      </c>
      <c r="R28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S28" s="8"/>
      <c r="T28" s="8"/>
      <c r="U28" s="8"/>
      <c r="V28" s="8"/>
      <c r="W28" s="8"/>
      <c r="X28" s="8"/>
      <c r="AE28" s="3" t="s">
        <v>15</v>
      </c>
      <c r="AF28" t="s">
        <v>35</v>
      </c>
      <c r="AG28">
        <v>1235</v>
      </c>
    </row>
    <row r="29" spans="2:33" ht="15.75" x14ac:dyDescent="0.25">
      <c r="B29" s="8"/>
      <c r="C29" s="8"/>
      <c r="D29" s="8"/>
      <c r="E29" s="8"/>
      <c r="F29" s="8"/>
      <c r="G29" s="9">
        <f>ROW()-ROW(Tabela_główna[[#Headers],[lp]])</f>
        <v>27</v>
      </c>
      <c r="H29" s="1" t="s">
        <v>60</v>
      </c>
      <c r="I29" t="s">
        <v>80</v>
      </c>
      <c r="J29" t="s">
        <v>123</v>
      </c>
      <c r="K29" t="str">
        <f>lista_przewodów!$O$3</f>
        <v>BS-C-H-2</v>
      </c>
      <c r="L29" s="10" t="s">
        <v>31</v>
      </c>
      <c r="M29" s="16">
        <f>VLOOKUP(Tabela_główna[[#This Row],[index]],$AF$3:$AG$57,2,0)/1000</f>
        <v>1.0549999999999999</v>
      </c>
      <c r="N29" s="13">
        <f t="shared" si="0"/>
        <v>562.5</v>
      </c>
      <c r="O29" s="14">
        <v>150</v>
      </c>
      <c r="P29" s="14">
        <v>150</v>
      </c>
      <c r="Q29" s="8" t="s">
        <v>129</v>
      </c>
      <c r="R29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S29" s="8"/>
      <c r="T29" s="8"/>
      <c r="U29" s="8"/>
      <c r="V29" s="8"/>
      <c r="W29" s="8"/>
      <c r="X29" s="8"/>
      <c r="AE29" s="3" t="s">
        <v>15</v>
      </c>
      <c r="AF29" t="s">
        <v>39</v>
      </c>
      <c r="AG29">
        <v>1270</v>
      </c>
    </row>
    <row r="30" spans="2:33" ht="15.75" x14ac:dyDescent="0.25">
      <c r="B30" s="8"/>
      <c r="C30" s="8"/>
      <c r="D30" s="8"/>
      <c r="E30" s="8"/>
      <c r="F30" s="8"/>
      <c r="G30" s="9">
        <f>ROW()-ROW(Tabela_główna[[#Headers],[lp]])</f>
        <v>28</v>
      </c>
      <c r="H30" s="1" t="s">
        <v>60</v>
      </c>
      <c r="I30" t="s">
        <v>80</v>
      </c>
      <c r="J30" t="s">
        <v>124</v>
      </c>
      <c r="K30" t="str">
        <f>lista_przewodów!$O$3</f>
        <v>BS-C-H-2</v>
      </c>
      <c r="L30" s="10" t="s">
        <v>31</v>
      </c>
      <c r="M30" s="16">
        <f>VLOOKUP(Tabela_główna[[#This Row],[index]],$AF$3:$AG$57,2,0)/1000</f>
        <v>1.0549999999999999</v>
      </c>
      <c r="N30" s="13">
        <f t="shared" si="0"/>
        <v>562.5</v>
      </c>
      <c r="O30" s="14">
        <v>150</v>
      </c>
      <c r="P30" s="14">
        <v>150</v>
      </c>
      <c r="Q30" s="8" t="s">
        <v>130</v>
      </c>
      <c r="R30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S30" s="8"/>
      <c r="T30" s="8"/>
      <c r="U30" s="8"/>
      <c r="V30" s="8"/>
      <c r="W30" s="8"/>
      <c r="X30" s="8"/>
      <c r="AE30" s="3" t="s">
        <v>15</v>
      </c>
      <c r="AF30" t="s">
        <v>29</v>
      </c>
      <c r="AG30">
        <v>1445</v>
      </c>
    </row>
    <row r="31" spans="2:33" ht="15.75" x14ac:dyDescent="0.25">
      <c r="B31" s="8"/>
      <c r="C31" s="8"/>
      <c r="D31" s="8"/>
      <c r="E31" s="8"/>
      <c r="F31" s="8"/>
      <c r="G31" s="9">
        <f>ROW()-ROW(Tabela_główna[[#Headers],[lp]])</f>
        <v>29</v>
      </c>
      <c r="H31" s="1" t="s">
        <v>60</v>
      </c>
      <c r="I31" t="s">
        <v>80</v>
      </c>
      <c r="J31" t="s">
        <v>125</v>
      </c>
      <c r="K31" t="str">
        <f>lista_przewodów!$O$3</f>
        <v>BS-C-H-2</v>
      </c>
      <c r="L31" s="10" t="s">
        <v>31</v>
      </c>
      <c r="M31" s="16">
        <f>VLOOKUP(Tabela_główna[[#This Row],[index]],$AF$3:$AG$57,2,0)/1000</f>
        <v>1.0549999999999999</v>
      </c>
      <c r="N31" s="13">
        <f t="shared" si="0"/>
        <v>562.5</v>
      </c>
      <c r="O31" s="14">
        <v>150</v>
      </c>
      <c r="P31" s="14">
        <v>150</v>
      </c>
      <c r="Q31" s="8" t="s">
        <v>129</v>
      </c>
      <c r="R31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S31" s="8"/>
      <c r="T31" s="8"/>
      <c r="U31" s="8"/>
      <c r="V31" s="8"/>
      <c r="W31" s="8"/>
      <c r="X31" s="8"/>
      <c r="AE31" s="3" t="s">
        <v>15</v>
      </c>
      <c r="AF31" t="s">
        <v>23</v>
      </c>
      <c r="AG31">
        <v>1520</v>
      </c>
    </row>
    <row r="32" spans="2:33" ht="15.75" x14ac:dyDescent="0.25">
      <c r="B32" s="8"/>
      <c r="C32" s="8"/>
      <c r="D32" s="8"/>
      <c r="E32" s="8"/>
      <c r="F32" s="8"/>
      <c r="G32" s="9">
        <f>ROW()-ROW(Tabela_główna[[#Headers],[lp]])</f>
        <v>30</v>
      </c>
      <c r="H32" s="1" t="s">
        <v>60</v>
      </c>
      <c r="I32" t="s">
        <v>80</v>
      </c>
      <c r="J32" t="s">
        <v>126</v>
      </c>
      <c r="K32" t="str">
        <f>lista_przewodów!$O$3</f>
        <v>BS-C-H-2</v>
      </c>
      <c r="L32" s="10" t="s">
        <v>31</v>
      </c>
      <c r="M32" s="16">
        <f>VLOOKUP(Tabela_główna[[#This Row],[index]],$AF$3:$AG$57,2,0)/1000</f>
        <v>1.0549999999999999</v>
      </c>
      <c r="N32" s="13">
        <f t="shared" si="0"/>
        <v>562.5</v>
      </c>
      <c r="O32" s="14">
        <v>150</v>
      </c>
      <c r="P32" s="14">
        <v>150</v>
      </c>
      <c r="Q32" s="8" t="s">
        <v>130</v>
      </c>
      <c r="R32" s="8">
        <f>(Tabela_główna[[#This Row],[zapas IN, mm]]+Tabela_główna[[#This Row],[wyjscie z koryta - element, mm]]+Tabela_główna[[#This Row],[zapas OUT, mm]]+VLOOKUP(Tabela_główna[[#This Row],[index]],$AF$3:$AG$15,2,FALSE))/1000</f>
        <v>1.9175</v>
      </c>
      <c r="S32" s="8"/>
      <c r="T32" s="8"/>
      <c r="U32" s="8"/>
      <c r="V32" s="8"/>
      <c r="W32" s="8"/>
      <c r="X32" s="8"/>
      <c r="AE32" s="3" t="s">
        <v>15</v>
      </c>
      <c r="AF32" t="s">
        <v>48</v>
      </c>
      <c r="AG32">
        <v>900</v>
      </c>
    </row>
    <row r="33" spans="2:33" ht="15.75" x14ac:dyDescent="0.25">
      <c r="B33" s="8"/>
      <c r="C33" s="8"/>
      <c r="D33" s="8"/>
      <c r="E33" s="8"/>
      <c r="F33" s="8"/>
      <c r="G33" s="9">
        <f>ROW()-ROW(Tabela_główna[[#Headers],[lp]])</f>
        <v>31</v>
      </c>
      <c r="H33" s="1" t="s">
        <v>62</v>
      </c>
      <c r="I33" t="s">
        <v>81</v>
      </c>
      <c r="J33" t="s">
        <v>115</v>
      </c>
      <c r="K33" t="str">
        <f>lista_przewodów!$O$3</f>
        <v>BS-C-H-2</v>
      </c>
      <c r="L33" s="10" t="s">
        <v>26</v>
      </c>
      <c r="M33" s="16">
        <f>VLOOKUP(Tabela_główna[[#This Row],[index]],$AF$3:$AG$57,2,0)/1000</f>
        <v>1</v>
      </c>
      <c r="N33" s="13">
        <f t="shared" si="0"/>
        <v>562.5</v>
      </c>
      <c r="O33" s="14">
        <v>150</v>
      </c>
      <c r="P33" s="14">
        <v>150</v>
      </c>
      <c r="Q33" s="8" t="s">
        <v>128</v>
      </c>
      <c r="R33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33" s="8"/>
      <c r="T33" s="8"/>
      <c r="U33" s="8"/>
      <c r="V33" s="8"/>
      <c r="W33" s="8"/>
      <c r="X33" s="8"/>
      <c r="AE33" s="3" t="s">
        <v>15</v>
      </c>
      <c r="AF33" t="s">
        <v>50</v>
      </c>
      <c r="AG33">
        <v>330</v>
      </c>
    </row>
    <row r="34" spans="2:33" ht="15.75" x14ac:dyDescent="0.25">
      <c r="B34" s="8"/>
      <c r="C34" s="8"/>
      <c r="D34" s="8"/>
      <c r="E34" s="8"/>
      <c r="F34" s="8"/>
      <c r="G34" s="9">
        <f>ROW()-ROW(Tabela_główna[[#Headers],[lp]])</f>
        <v>32</v>
      </c>
      <c r="H34" s="1" t="s">
        <v>62</v>
      </c>
      <c r="I34" t="s">
        <v>81</v>
      </c>
      <c r="J34" t="s">
        <v>116</v>
      </c>
      <c r="K34" t="str">
        <f>lista_przewodów!$O$3</f>
        <v>BS-C-H-2</v>
      </c>
      <c r="L34" s="10" t="s">
        <v>26</v>
      </c>
      <c r="M34" s="16">
        <f>VLOOKUP(Tabela_główna[[#This Row],[index]],$AF$3:$AG$57,2,0)/1000</f>
        <v>1</v>
      </c>
      <c r="N34" s="13">
        <f t="shared" si="0"/>
        <v>562.5</v>
      </c>
      <c r="O34" s="14">
        <v>150</v>
      </c>
      <c r="P34" s="14">
        <v>150</v>
      </c>
      <c r="Q34" s="8" t="s">
        <v>128</v>
      </c>
      <c r="R34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34" s="8"/>
      <c r="T34" s="8"/>
      <c r="U34" s="8"/>
      <c r="V34" s="8"/>
      <c r="W34" s="8"/>
      <c r="X34" s="8"/>
      <c r="Z34" s="5"/>
      <c r="AA34" s="6"/>
      <c r="AB34" s="5" t="str">
        <f>IFERROR(INDEX(#REF!,MATCH(Tabela_główna[[#This Row],[element]],#REF!,0)),"")</f>
        <v/>
      </c>
      <c r="AC34" s="5"/>
      <c r="AE34" s="3" t="s">
        <v>15</v>
      </c>
      <c r="AF34" t="s">
        <v>52</v>
      </c>
      <c r="AG34">
        <v>730</v>
      </c>
    </row>
    <row r="35" spans="2:33" ht="15.75" x14ac:dyDescent="0.25">
      <c r="B35" s="8"/>
      <c r="C35" s="8"/>
      <c r="D35" s="8"/>
      <c r="E35" s="8"/>
      <c r="F35" s="8"/>
      <c r="G35" s="9">
        <f>ROW()-ROW(Tabela_główna[[#Headers],[lp]])</f>
        <v>33</v>
      </c>
      <c r="H35" s="1" t="s">
        <v>62</v>
      </c>
      <c r="I35" t="s">
        <v>81</v>
      </c>
      <c r="J35" t="s">
        <v>117</v>
      </c>
      <c r="K35" t="str">
        <f>lista_przewodów!$O$3</f>
        <v>BS-C-H-2</v>
      </c>
      <c r="L35" s="10" t="s">
        <v>26</v>
      </c>
      <c r="M35" s="16">
        <f>VLOOKUP(Tabela_główna[[#This Row],[index]],$AF$3:$AG$57,2,0)/1000</f>
        <v>1</v>
      </c>
      <c r="N35" s="13">
        <f t="shared" si="0"/>
        <v>562.5</v>
      </c>
      <c r="O35" s="14">
        <v>150</v>
      </c>
      <c r="P35" s="14">
        <v>150</v>
      </c>
      <c r="Q35" s="8" t="s">
        <v>128</v>
      </c>
      <c r="R35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35" s="8"/>
      <c r="T35" s="8"/>
      <c r="U35" s="8"/>
      <c r="V35" s="8"/>
      <c r="W35" s="8"/>
      <c r="X35" s="8"/>
      <c r="AE35" s="3" t="s">
        <v>15</v>
      </c>
      <c r="AF35" t="s">
        <v>16</v>
      </c>
      <c r="AG35">
        <v>0</v>
      </c>
    </row>
    <row r="36" spans="2:33" ht="15.75" x14ac:dyDescent="0.25">
      <c r="B36" s="8"/>
      <c r="C36" s="8"/>
      <c r="D36" s="8"/>
      <c r="E36" s="8"/>
      <c r="F36" s="8"/>
      <c r="G36" s="9">
        <f>ROW()-ROW(Tabela_główna[[#Headers],[lp]])</f>
        <v>34</v>
      </c>
      <c r="H36" s="1" t="s">
        <v>62</v>
      </c>
      <c r="I36" t="s">
        <v>81</v>
      </c>
      <c r="J36" t="s">
        <v>118</v>
      </c>
      <c r="K36" t="str">
        <f>lista_przewodów!$O$3</f>
        <v>BS-C-H-2</v>
      </c>
      <c r="L36" s="10" t="s">
        <v>26</v>
      </c>
      <c r="M36" s="16">
        <f>VLOOKUP(Tabela_główna[[#This Row],[index]],$AF$3:$AG$57,2,0)/1000</f>
        <v>1</v>
      </c>
      <c r="N36" s="13">
        <f t="shared" si="0"/>
        <v>562.5</v>
      </c>
      <c r="O36" s="14">
        <v>150</v>
      </c>
      <c r="P36" s="14">
        <v>150</v>
      </c>
      <c r="Q36" s="8" t="s">
        <v>128</v>
      </c>
      <c r="R36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36" s="8"/>
      <c r="T36" s="8"/>
      <c r="U36" s="8"/>
      <c r="V36" s="8"/>
      <c r="W36" s="8"/>
      <c r="X36" s="8"/>
      <c r="AE36" s="3" t="s">
        <v>15</v>
      </c>
      <c r="AF36" t="s">
        <v>19</v>
      </c>
      <c r="AG36">
        <v>340</v>
      </c>
    </row>
    <row r="37" spans="2:33" ht="15.75" x14ac:dyDescent="0.25">
      <c r="B37" s="8"/>
      <c r="C37" s="8"/>
      <c r="D37" s="8"/>
      <c r="E37" s="8"/>
      <c r="F37" s="8"/>
      <c r="G37" s="9">
        <f>ROW()-ROW(Tabela_główna[[#Headers],[lp]])</f>
        <v>35</v>
      </c>
      <c r="H37" s="1" t="s">
        <v>62</v>
      </c>
      <c r="I37" t="s">
        <v>81</v>
      </c>
      <c r="J37" t="s">
        <v>119</v>
      </c>
      <c r="K37" t="str">
        <f>lista_przewodów!$O$3</f>
        <v>BS-C-H-2</v>
      </c>
      <c r="L37" s="10" t="s">
        <v>26</v>
      </c>
      <c r="M37" s="16">
        <f>VLOOKUP(Tabela_główna[[#This Row],[index]],$AF$3:$AG$57,2,0)/1000</f>
        <v>1</v>
      </c>
      <c r="N37" s="13">
        <f t="shared" si="0"/>
        <v>562.5</v>
      </c>
      <c r="O37" s="14">
        <v>150</v>
      </c>
      <c r="P37" s="14">
        <v>150</v>
      </c>
      <c r="Q37" s="8" t="s">
        <v>128</v>
      </c>
      <c r="R37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37" s="8"/>
      <c r="T37" s="8"/>
      <c r="U37" s="8"/>
      <c r="V37" s="8"/>
      <c r="W37" s="8"/>
      <c r="X37" s="8"/>
      <c r="AE37" s="3" t="s">
        <v>15</v>
      </c>
      <c r="AF37" t="s">
        <v>26</v>
      </c>
      <c r="AG37">
        <v>1000</v>
      </c>
    </row>
    <row r="38" spans="2:33" ht="15.75" x14ac:dyDescent="0.25">
      <c r="B38" s="8"/>
      <c r="C38" s="8"/>
      <c r="D38" s="8"/>
      <c r="E38" s="8"/>
      <c r="F38" s="8"/>
      <c r="G38" s="9">
        <f>ROW()-ROW(Tabela_główna[[#Headers],[lp]])</f>
        <v>36</v>
      </c>
      <c r="H38" s="1" t="s">
        <v>62</v>
      </c>
      <c r="I38" t="s">
        <v>81</v>
      </c>
      <c r="J38" t="s">
        <v>121</v>
      </c>
      <c r="K38" t="str">
        <f>lista_przewodów!$O$3</f>
        <v>BS-C-H-2</v>
      </c>
      <c r="L38" s="10" t="s">
        <v>26</v>
      </c>
      <c r="M38" s="16">
        <f>VLOOKUP(Tabela_główna[[#This Row],[index]],$AF$3:$AG$57,2,0)/1000</f>
        <v>1</v>
      </c>
      <c r="N38" s="13">
        <f t="shared" si="0"/>
        <v>562.5</v>
      </c>
      <c r="O38" s="14">
        <v>150</v>
      </c>
      <c r="P38" s="14">
        <v>150</v>
      </c>
      <c r="Q38" s="8" t="s">
        <v>129</v>
      </c>
      <c r="R38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38" s="8"/>
      <c r="T38" s="8"/>
      <c r="U38" s="8"/>
      <c r="V38" s="8"/>
      <c r="W38" s="8"/>
      <c r="X38" s="8"/>
      <c r="AE38" s="3" t="s">
        <v>34</v>
      </c>
      <c r="AF38" t="s">
        <v>31</v>
      </c>
      <c r="AG38">
        <v>1055</v>
      </c>
    </row>
    <row r="39" spans="2:33" ht="15.75" x14ac:dyDescent="0.25">
      <c r="B39" s="8"/>
      <c r="C39" s="8"/>
      <c r="D39" s="8"/>
      <c r="E39" s="8"/>
      <c r="F39" s="8"/>
      <c r="G39" s="9">
        <f>ROW()-ROW(Tabela_główna[[#Headers],[lp]])</f>
        <v>37</v>
      </c>
      <c r="H39" s="1" t="s">
        <v>62</v>
      </c>
      <c r="I39" t="s">
        <v>81</v>
      </c>
      <c r="J39" t="s">
        <v>122</v>
      </c>
      <c r="K39" t="str">
        <f>lista_przewodów!$O$3</f>
        <v>BS-C-H-2</v>
      </c>
      <c r="L39" s="10" t="s">
        <v>26</v>
      </c>
      <c r="M39" s="16">
        <f>VLOOKUP(Tabela_główna[[#This Row],[index]],$AF$3:$AG$57,2,0)/1000</f>
        <v>1</v>
      </c>
      <c r="N39" s="13">
        <f t="shared" si="0"/>
        <v>562.5</v>
      </c>
      <c r="O39" s="14">
        <v>150</v>
      </c>
      <c r="P39" s="14">
        <v>150</v>
      </c>
      <c r="Q39" s="8" t="s">
        <v>129</v>
      </c>
      <c r="R39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39" s="8"/>
      <c r="T39" s="8"/>
      <c r="U39" s="8"/>
      <c r="V39" s="8"/>
      <c r="W39" s="8"/>
      <c r="X39" s="8"/>
      <c r="AE39" s="3" t="s">
        <v>34</v>
      </c>
      <c r="AF39" t="s">
        <v>35</v>
      </c>
      <c r="AG39">
        <v>1235</v>
      </c>
    </row>
    <row r="40" spans="2:33" ht="15.75" x14ac:dyDescent="0.25">
      <c r="B40" s="8"/>
      <c r="C40" s="8"/>
      <c r="D40" s="8"/>
      <c r="E40" s="8"/>
      <c r="F40" s="8"/>
      <c r="G40" s="9">
        <f>ROW()-ROW(Tabela_główna[[#Headers],[lp]])</f>
        <v>38</v>
      </c>
      <c r="H40" s="1" t="s">
        <v>62</v>
      </c>
      <c r="I40" t="s">
        <v>81</v>
      </c>
      <c r="J40" t="s">
        <v>120</v>
      </c>
      <c r="K40" t="str">
        <f>lista_przewodów!$O$3</f>
        <v>BS-C-H-2</v>
      </c>
      <c r="L40" s="10" t="s">
        <v>26</v>
      </c>
      <c r="M40" s="16">
        <f>VLOOKUP(Tabela_główna[[#This Row],[index]],$AF$3:$AG$57,2,0)/1000</f>
        <v>1</v>
      </c>
      <c r="N40" s="13">
        <f t="shared" si="0"/>
        <v>562.5</v>
      </c>
      <c r="O40" s="14">
        <v>150</v>
      </c>
      <c r="P40" s="14">
        <v>150</v>
      </c>
      <c r="Q40" s="8" t="s">
        <v>129</v>
      </c>
      <c r="R40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40" s="8"/>
      <c r="T40" s="8"/>
      <c r="U40" s="8"/>
      <c r="V40" s="8"/>
      <c r="W40" s="8"/>
      <c r="X40" s="8"/>
      <c r="AE40" s="3" t="s">
        <v>34</v>
      </c>
      <c r="AF40" t="s">
        <v>39</v>
      </c>
      <c r="AG40">
        <v>1270</v>
      </c>
    </row>
    <row r="41" spans="2:33" ht="15.75" x14ac:dyDescent="0.25">
      <c r="B41" s="8"/>
      <c r="C41" s="8"/>
      <c r="D41" s="8"/>
      <c r="E41" s="8"/>
      <c r="F41" s="8"/>
      <c r="G41" s="9">
        <f>ROW()-ROW(Tabela_główna[[#Headers],[lp]])</f>
        <v>39</v>
      </c>
      <c r="H41" s="1" t="s">
        <v>62</v>
      </c>
      <c r="I41" t="s">
        <v>81</v>
      </c>
      <c r="J41" t="s">
        <v>123</v>
      </c>
      <c r="K41" t="str">
        <f>lista_przewodów!$O$3</f>
        <v>BS-C-H-2</v>
      </c>
      <c r="L41" s="10" t="s">
        <v>26</v>
      </c>
      <c r="M41" s="16">
        <f>VLOOKUP(Tabela_główna[[#This Row],[index]],$AF$3:$AG$57,2,0)/1000</f>
        <v>1</v>
      </c>
      <c r="N41" s="13">
        <f t="shared" si="0"/>
        <v>562.5</v>
      </c>
      <c r="O41" s="14">
        <v>150</v>
      </c>
      <c r="P41" s="14">
        <v>150</v>
      </c>
      <c r="Q41" s="8" t="s">
        <v>129</v>
      </c>
      <c r="R41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41" s="8"/>
      <c r="T41" s="8"/>
      <c r="U41" s="8"/>
      <c r="V41" s="8"/>
      <c r="W41" s="8"/>
      <c r="X41" s="8"/>
      <c r="AE41" s="3" t="s">
        <v>34</v>
      </c>
      <c r="AF41" t="s">
        <v>29</v>
      </c>
      <c r="AG41">
        <v>1445</v>
      </c>
    </row>
    <row r="42" spans="2:33" ht="15.75" x14ac:dyDescent="0.25">
      <c r="B42" s="8"/>
      <c r="C42" s="8"/>
      <c r="D42" s="8"/>
      <c r="E42" s="8"/>
      <c r="F42" s="8"/>
      <c r="G42" s="9">
        <f>ROW()-ROW(Tabela_główna[[#Headers],[lp]])</f>
        <v>40</v>
      </c>
      <c r="H42" s="1" t="s">
        <v>62</v>
      </c>
      <c r="I42" t="s">
        <v>81</v>
      </c>
      <c r="J42" t="s">
        <v>124</v>
      </c>
      <c r="K42" t="str">
        <f>lista_przewodów!$O$3</f>
        <v>BS-C-H-2</v>
      </c>
      <c r="L42" s="10" t="s">
        <v>26</v>
      </c>
      <c r="M42" s="16">
        <f>VLOOKUP(Tabela_główna[[#This Row],[index]],$AF$3:$AG$57,2,0)/1000</f>
        <v>1</v>
      </c>
      <c r="N42" s="13">
        <f t="shared" si="0"/>
        <v>562.5</v>
      </c>
      <c r="O42" s="14">
        <v>150</v>
      </c>
      <c r="P42" s="14">
        <v>150</v>
      </c>
      <c r="Q42" s="8" t="s">
        <v>130</v>
      </c>
      <c r="R42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42" s="8"/>
      <c r="T42" s="8"/>
      <c r="U42" s="8"/>
      <c r="V42" s="8"/>
      <c r="W42" s="8"/>
      <c r="X42" s="8"/>
      <c r="AE42" s="3" t="s">
        <v>34</v>
      </c>
      <c r="AF42" t="s">
        <v>23</v>
      </c>
      <c r="AG42">
        <v>1520</v>
      </c>
    </row>
    <row r="43" spans="2:33" ht="15.75" x14ac:dyDescent="0.25">
      <c r="B43" s="8"/>
      <c r="C43" s="8"/>
      <c r="D43" s="8"/>
      <c r="E43" s="8"/>
      <c r="F43" s="8"/>
      <c r="G43" s="9">
        <f>ROW()-ROW(Tabela_główna[[#Headers],[lp]])</f>
        <v>41</v>
      </c>
      <c r="H43" s="1" t="s">
        <v>62</v>
      </c>
      <c r="I43" t="s">
        <v>81</v>
      </c>
      <c r="J43" t="s">
        <v>125</v>
      </c>
      <c r="K43" t="str">
        <f>lista_przewodów!$O$3</f>
        <v>BS-C-H-2</v>
      </c>
      <c r="L43" s="10" t="s">
        <v>26</v>
      </c>
      <c r="M43" s="16">
        <f>VLOOKUP(Tabela_główna[[#This Row],[index]],$AF$3:$AG$57,2,0)/1000</f>
        <v>1</v>
      </c>
      <c r="N43" s="13">
        <f t="shared" si="0"/>
        <v>562.5</v>
      </c>
      <c r="O43" s="14">
        <v>150</v>
      </c>
      <c r="P43" s="14">
        <v>150</v>
      </c>
      <c r="Q43" s="8" t="s">
        <v>129</v>
      </c>
      <c r="R43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43" s="8"/>
      <c r="T43" s="8"/>
      <c r="U43" s="8"/>
      <c r="V43" s="8"/>
      <c r="W43" s="8"/>
      <c r="X43" s="8"/>
      <c r="AE43" s="3" t="s">
        <v>34</v>
      </c>
      <c r="AF43" t="s">
        <v>48</v>
      </c>
      <c r="AG43">
        <v>900</v>
      </c>
    </row>
    <row r="44" spans="2:33" ht="15.75" x14ac:dyDescent="0.25">
      <c r="B44" s="8"/>
      <c r="C44" s="8"/>
      <c r="D44" s="8"/>
      <c r="E44" s="8"/>
      <c r="F44" s="8"/>
      <c r="G44" s="9">
        <f>ROW()-ROW(Tabela_główna[[#Headers],[lp]])</f>
        <v>42</v>
      </c>
      <c r="H44" s="1" t="s">
        <v>62</v>
      </c>
      <c r="I44" t="s">
        <v>81</v>
      </c>
      <c r="J44" t="s">
        <v>126</v>
      </c>
      <c r="K44" t="str">
        <f>lista_przewodów!$O$3</f>
        <v>BS-C-H-2</v>
      </c>
      <c r="L44" s="10" t="s">
        <v>26</v>
      </c>
      <c r="M44" s="16">
        <f>VLOOKUP(Tabela_główna[[#This Row],[index]],$AF$3:$AG$57,2,0)/1000</f>
        <v>1</v>
      </c>
      <c r="N44" s="13">
        <f t="shared" si="0"/>
        <v>562.5</v>
      </c>
      <c r="O44" s="14">
        <v>150</v>
      </c>
      <c r="P44" s="14">
        <v>150</v>
      </c>
      <c r="Q44" s="8" t="s">
        <v>130</v>
      </c>
      <c r="R44" s="8">
        <f>(Tabela_główna[[#This Row],[zapas IN, mm]]+Tabela_główna[[#This Row],[wyjscie z koryta - element, mm]]+Tabela_główna[[#This Row],[zapas OUT, mm]]+VLOOKUP(Tabela_główna[[#This Row],[index]],$AF$3:$AG$15,2,FALSE))/1000</f>
        <v>1.8625</v>
      </c>
      <c r="S44" s="8"/>
      <c r="T44" s="8"/>
      <c r="U44" s="8"/>
      <c r="V44" s="8"/>
      <c r="W44" s="8"/>
      <c r="X44" s="8"/>
      <c r="AE44" s="3" t="s">
        <v>34</v>
      </c>
      <c r="AF44" t="s">
        <v>50</v>
      </c>
      <c r="AG44">
        <v>330</v>
      </c>
    </row>
    <row r="45" spans="2:33" ht="15.75" x14ac:dyDescent="0.25">
      <c r="B45" s="8"/>
      <c r="C45" s="8"/>
      <c r="D45" s="8"/>
      <c r="E45" s="8"/>
      <c r="F45" s="8"/>
      <c r="G45" s="9">
        <f>ROW()-ROW(Tabela_główna[[#Headers],[lp]])</f>
        <v>43</v>
      </c>
      <c r="H45" s="1" t="s">
        <v>127</v>
      </c>
      <c r="I45" t="s">
        <v>44</v>
      </c>
      <c r="J45" t="s">
        <v>83</v>
      </c>
      <c r="K45" t="str">
        <f>lista_przewodów!$O$3</f>
        <v>BS-C-H-2</v>
      </c>
      <c r="L45" s="10" t="s">
        <v>39</v>
      </c>
      <c r="M45" s="16">
        <f>VLOOKUP(Tabela_główna[[#This Row],[index]],$AF$3:$AG$57,2,0)/1000</f>
        <v>1.27</v>
      </c>
      <c r="N45" s="13">
        <f t="shared" si="0"/>
        <v>562.5</v>
      </c>
      <c r="O45" s="14">
        <v>150</v>
      </c>
      <c r="P45" s="14">
        <v>300</v>
      </c>
      <c r="Q45" s="8" t="s">
        <v>138</v>
      </c>
      <c r="R45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S45" s="8"/>
      <c r="T45" s="8"/>
      <c r="U45" s="8"/>
      <c r="V45" s="8"/>
      <c r="W45" s="8"/>
      <c r="X45" s="8"/>
      <c r="AE45" s="3" t="s">
        <v>34</v>
      </c>
      <c r="AF45" t="s">
        <v>52</v>
      </c>
      <c r="AG45">
        <v>730</v>
      </c>
    </row>
    <row r="46" spans="2:33" ht="15.75" x14ac:dyDescent="0.25">
      <c r="B46" s="8"/>
      <c r="C46" s="8"/>
      <c r="D46" s="8"/>
      <c r="E46" s="8"/>
      <c r="F46" s="8"/>
      <c r="G46" s="9">
        <f>ROW()-ROW(Tabela_główna[[#Headers],[lp]])</f>
        <v>44</v>
      </c>
      <c r="H46" s="1" t="s">
        <v>64</v>
      </c>
      <c r="I46" t="s">
        <v>44</v>
      </c>
      <c r="J46" t="s">
        <v>84</v>
      </c>
      <c r="K46" t="str">
        <f>lista_przewodów!$O$3</f>
        <v>BS-C-H-2</v>
      </c>
      <c r="L46" s="10" t="s">
        <v>39</v>
      </c>
      <c r="M46" s="16">
        <f>VLOOKUP(Tabela_główna[[#This Row],[index]],$AF$3:$AG$57,2,0)/1000</f>
        <v>1.27</v>
      </c>
      <c r="N46" s="13">
        <f t="shared" si="0"/>
        <v>562.5</v>
      </c>
      <c r="O46" s="14">
        <v>150</v>
      </c>
      <c r="P46" s="14">
        <v>300</v>
      </c>
      <c r="Q46" s="8"/>
      <c r="R46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S46" s="8"/>
      <c r="T46" s="8"/>
      <c r="U46" s="8"/>
      <c r="V46" s="8"/>
      <c r="W46" s="8"/>
      <c r="X46" s="8"/>
      <c r="AE46" s="3" t="s">
        <v>34</v>
      </c>
      <c r="AF46" t="s">
        <v>16</v>
      </c>
      <c r="AG46">
        <v>0</v>
      </c>
    </row>
    <row r="47" spans="2:33" ht="15.75" x14ac:dyDescent="0.25">
      <c r="B47" s="8"/>
      <c r="C47" s="8"/>
      <c r="D47" s="8"/>
      <c r="E47" s="8"/>
      <c r="F47" s="8"/>
      <c r="G47" s="9">
        <f>ROW()-ROW(Tabela_główna[[#Headers],[lp]])</f>
        <v>45</v>
      </c>
      <c r="H47" s="1" t="s">
        <v>64</v>
      </c>
      <c r="I47" t="s">
        <v>44</v>
      </c>
      <c r="J47" t="s">
        <v>85</v>
      </c>
      <c r="K47" t="str">
        <f>lista_przewodów!$O$3</f>
        <v>BS-C-H-2</v>
      </c>
      <c r="L47" s="10" t="s">
        <v>39</v>
      </c>
      <c r="M47" s="16">
        <f>VLOOKUP(Tabela_główna[[#This Row],[index]],$AF$3:$AG$57,2,0)/1000</f>
        <v>1.27</v>
      </c>
      <c r="N47" s="13">
        <f t="shared" si="0"/>
        <v>562.5</v>
      </c>
      <c r="O47" s="14">
        <v>150</v>
      </c>
      <c r="P47" s="14">
        <v>300</v>
      </c>
      <c r="Q47" s="8"/>
      <c r="R47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S47" s="8"/>
      <c r="T47" s="8"/>
      <c r="U47" s="8"/>
      <c r="V47" s="8"/>
      <c r="W47" s="8"/>
      <c r="X47" s="8"/>
      <c r="AE47" s="3" t="s">
        <v>38</v>
      </c>
      <c r="AF47" t="s">
        <v>19</v>
      </c>
      <c r="AG47">
        <v>340</v>
      </c>
    </row>
    <row r="48" spans="2:33" ht="15.75" x14ac:dyDescent="0.25">
      <c r="B48" s="8"/>
      <c r="C48" s="8"/>
      <c r="D48" s="8"/>
      <c r="E48" s="8"/>
      <c r="F48" s="8"/>
      <c r="G48" s="9">
        <f>ROW()-ROW(Tabela_główna[[#Headers],[lp]])</f>
        <v>46</v>
      </c>
      <c r="H48" s="1" t="s">
        <v>64</v>
      </c>
      <c r="I48" t="s">
        <v>44</v>
      </c>
      <c r="J48" t="s">
        <v>86</v>
      </c>
      <c r="K48" t="str">
        <f>lista_przewodów!$O$3</f>
        <v>BS-C-H-2</v>
      </c>
      <c r="L48" s="10" t="s">
        <v>39</v>
      </c>
      <c r="M48" s="16">
        <f>VLOOKUP(Tabela_główna[[#This Row],[index]],$AF$3:$AG$57,2,0)/1000</f>
        <v>1.27</v>
      </c>
      <c r="N48" s="13">
        <f t="shared" si="0"/>
        <v>562.5</v>
      </c>
      <c r="O48" s="14">
        <v>150</v>
      </c>
      <c r="P48" s="14">
        <v>300</v>
      </c>
      <c r="Q48" s="8"/>
      <c r="R48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S48" s="8"/>
      <c r="T48" s="8"/>
      <c r="U48" s="8"/>
      <c r="V48" s="8"/>
      <c r="W48" s="8"/>
      <c r="X48" s="8"/>
      <c r="AE48" s="3" t="s">
        <v>38</v>
      </c>
      <c r="AF48" t="s">
        <v>26</v>
      </c>
      <c r="AG48">
        <v>1000</v>
      </c>
    </row>
    <row r="49" spans="2:33" ht="15.75" x14ac:dyDescent="0.25">
      <c r="B49" s="8"/>
      <c r="C49" s="8"/>
      <c r="D49" s="8"/>
      <c r="E49" s="8"/>
      <c r="F49" s="8"/>
      <c r="G49" s="9">
        <f>ROW()-ROW(Tabela_główna[[#Headers],[lp]])</f>
        <v>47</v>
      </c>
      <c r="H49" s="1" t="s">
        <v>64</v>
      </c>
      <c r="I49" t="s">
        <v>44</v>
      </c>
      <c r="J49" t="s">
        <v>87</v>
      </c>
      <c r="K49" t="str">
        <f>lista_przewodów!$O$3</f>
        <v>BS-C-H-2</v>
      </c>
      <c r="L49" s="10" t="s">
        <v>39</v>
      </c>
      <c r="M49" s="16">
        <f>VLOOKUP(Tabela_główna[[#This Row],[index]],$AF$3:$AG$57,2,0)/1000</f>
        <v>1.27</v>
      </c>
      <c r="N49" s="13">
        <f t="shared" si="0"/>
        <v>562.5</v>
      </c>
      <c r="O49" s="14">
        <v>150</v>
      </c>
      <c r="P49" s="14">
        <v>300</v>
      </c>
      <c r="Q49" s="8"/>
      <c r="R49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S49" s="8"/>
      <c r="T49" s="8"/>
      <c r="U49" s="8"/>
      <c r="V49" s="8"/>
      <c r="W49" s="8"/>
      <c r="X49" s="8"/>
      <c r="AE49" s="3" t="s">
        <v>38</v>
      </c>
      <c r="AF49" t="s">
        <v>31</v>
      </c>
      <c r="AG49">
        <v>1055</v>
      </c>
    </row>
    <row r="50" spans="2:33" ht="15.75" x14ac:dyDescent="0.25">
      <c r="B50" s="8"/>
      <c r="C50" s="8"/>
      <c r="D50" s="8"/>
      <c r="E50" s="8"/>
      <c r="F50" s="8"/>
      <c r="G50" s="9">
        <f>ROW()-ROW(Tabela_główna[[#Headers],[lp]])</f>
        <v>48</v>
      </c>
      <c r="H50" s="1" t="s">
        <v>64</v>
      </c>
      <c r="I50" t="s">
        <v>44</v>
      </c>
      <c r="J50" t="s">
        <v>88</v>
      </c>
      <c r="K50" t="str">
        <f>lista_przewodów!$O$3</f>
        <v>BS-C-H-2</v>
      </c>
      <c r="L50" s="10" t="s">
        <v>39</v>
      </c>
      <c r="M50" s="16">
        <f>VLOOKUP(Tabela_główna[[#This Row],[index]],$AF$3:$AG$57,2,0)/1000</f>
        <v>1.27</v>
      </c>
      <c r="N50" s="13">
        <f t="shared" si="0"/>
        <v>562.5</v>
      </c>
      <c r="O50" s="14">
        <v>150</v>
      </c>
      <c r="P50" s="14">
        <v>300</v>
      </c>
      <c r="Q50" s="8"/>
      <c r="R50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T50" s="8"/>
      <c r="U50" s="8"/>
      <c r="AE50" s="3" t="s">
        <v>38</v>
      </c>
      <c r="AF50" t="s">
        <v>35</v>
      </c>
      <c r="AG50">
        <v>1235</v>
      </c>
    </row>
    <row r="51" spans="2:33" ht="15.75" x14ac:dyDescent="0.25">
      <c r="G51" s="9">
        <f>ROW()-ROW(Tabela_główna[[#Headers],[lp]])</f>
        <v>49</v>
      </c>
      <c r="H51" s="1" t="s">
        <v>64</v>
      </c>
      <c r="I51" t="s">
        <v>44</v>
      </c>
      <c r="J51" t="s">
        <v>89</v>
      </c>
      <c r="K51" t="str">
        <f>lista_przewodów!$O$3</f>
        <v>BS-C-H-2</v>
      </c>
      <c r="L51" s="10" t="s">
        <v>39</v>
      </c>
      <c r="M51" s="16">
        <f>VLOOKUP(Tabela_główna[[#This Row],[index]],$AF$3:$AG$57,2,0)/1000</f>
        <v>1.27</v>
      </c>
      <c r="N51" s="13">
        <f t="shared" si="0"/>
        <v>562.5</v>
      </c>
      <c r="O51" s="14">
        <v>150</v>
      </c>
      <c r="P51" s="14">
        <v>300</v>
      </c>
      <c r="Q51" s="8"/>
      <c r="R51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AE51" s="3" t="s">
        <v>38</v>
      </c>
      <c r="AF51" t="s">
        <v>39</v>
      </c>
      <c r="AG51">
        <v>1270</v>
      </c>
    </row>
    <row r="52" spans="2:33" ht="15.75" x14ac:dyDescent="0.25">
      <c r="G52" s="9">
        <f>ROW()-ROW(Tabela_główna[[#Headers],[lp]])</f>
        <v>50</v>
      </c>
      <c r="H52" s="1" t="s">
        <v>64</v>
      </c>
      <c r="I52" t="s">
        <v>44</v>
      </c>
      <c r="J52" t="s">
        <v>90</v>
      </c>
      <c r="K52" t="str">
        <f>lista_przewodów!$O$3</f>
        <v>BS-C-H-2</v>
      </c>
      <c r="L52" s="10" t="s">
        <v>39</v>
      </c>
      <c r="M52" s="16">
        <f>VLOOKUP(Tabela_główna[[#This Row],[index]],$AF$3:$AG$57,2,0)/1000</f>
        <v>1.27</v>
      </c>
      <c r="N52" s="13">
        <f t="shared" si="0"/>
        <v>562.5</v>
      </c>
      <c r="O52" s="14">
        <v>150</v>
      </c>
      <c r="P52" s="14">
        <v>300</v>
      </c>
      <c r="Q52" s="8"/>
      <c r="R52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AE52" s="3" t="s">
        <v>38</v>
      </c>
      <c r="AF52" t="s">
        <v>29</v>
      </c>
      <c r="AG52">
        <v>1445</v>
      </c>
    </row>
    <row r="53" spans="2:33" ht="15.75" x14ac:dyDescent="0.25">
      <c r="G53" s="9">
        <f>ROW()-ROW(Tabela_główna[[#Headers],[lp]])</f>
        <v>51</v>
      </c>
      <c r="H53" s="1" t="s">
        <v>64</v>
      </c>
      <c r="I53" t="s">
        <v>44</v>
      </c>
      <c r="J53" t="s">
        <v>91</v>
      </c>
      <c r="K53" t="str">
        <f>lista_przewodów!$O$3</f>
        <v>BS-C-H-2</v>
      </c>
      <c r="L53" s="10" t="s">
        <v>39</v>
      </c>
      <c r="M53" s="16">
        <f>VLOOKUP(Tabela_główna[[#This Row],[index]],$AF$3:$AG$57,2,0)/1000</f>
        <v>1.27</v>
      </c>
      <c r="N53" s="13">
        <f t="shared" si="0"/>
        <v>562.5</v>
      </c>
      <c r="O53" s="14">
        <v>150</v>
      </c>
      <c r="P53" s="14">
        <v>300</v>
      </c>
      <c r="Q53" s="8"/>
      <c r="R53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AE53" s="3" t="s">
        <v>38</v>
      </c>
      <c r="AF53" t="s">
        <v>23</v>
      </c>
      <c r="AG53">
        <v>1520</v>
      </c>
    </row>
    <row r="54" spans="2:33" ht="15.75" x14ac:dyDescent="0.25">
      <c r="G54" s="9">
        <f>ROW()-ROW(Tabela_główna[[#Headers],[lp]])</f>
        <v>52</v>
      </c>
      <c r="H54" s="1" t="s">
        <v>64</v>
      </c>
      <c r="I54" t="s">
        <v>44</v>
      </c>
      <c r="J54" t="s">
        <v>93</v>
      </c>
      <c r="K54" t="str">
        <f>lista_przewodów!$O$3</f>
        <v>BS-C-H-2</v>
      </c>
      <c r="L54" s="10" t="s">
        <v>39</v>
      </c>
      <c r="M54" s="16">
        <f>VLOOKUP(Tabela_główna[[#This Row],[index]],$AF$3:$AG$57,2,0)/1000</f>
        <v>1.27</v>
      </c>
      <c r="N54" s="13">
        <f t="shared" si="0"/>
        <v>562.5</v>
      </c>
      <c r="O54" s="14">
        <v>150</v>
      </c>
      <c r="P54" s="14">
        <v>300</v>
      </c>
      <c r="Q54" s="8"/>
      <c r="R54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AE54" s="3" t="s">
        <v>38</v>
      </c>
      <c r="AF54" t="s">
        <v>48</v>
      </c>
      <c r="AG54">
        <v>900</v>
      </c>
    </row>
    <row r="55" spans="2:33" ht="15.75" x14ac:dyDescent="0.25">
      <c r="G55" s="9">
        <f>ROW()-ROW(Tabela_główna[[#Headers],[lp]])</f>
        <v>53</v>
      </c>
      <c r="H55" s="1" t="s">
        <v>64</v>
      </c>
      <c r="I55" t="s">
        <v>44</v>
      </c>
      <c r="J55" t="s">
        <v>92</v>
      </c>
      <c r="K55" t="str">
        <f>lista_przewodów!$O$3</f>
        <v>BS-C-H-2</v>
      </c>
      <c r="L55" s="10" t="s">
        <v>39</v>
      </c>
      <c r="M55" s="16">
        <f>VLOOKUP(Tabela_główna[[#This Row],[index]],$AF$3:$AG$57,2,0)/1000</f>
        <v>1.27</v>
      </c>
      <c r="N55" s="13">
        <f t="shared" si="0"/>
        <v>562.5</v>
      </c>
      <c r="O55" s="14">
        <v>150</v>
      </c>
      <c r="P55" s="14">
        <v>300</v>
      </c>
      <c r="Q55" s="8"/>
      <c r="R55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AE55" s="3" t="s">
        <v>38</v>
      </c>
      <c r="AF55" t="s">
        <v>50</v>
      </c>
      <c r="AG55">
        <v>330</v>
      </c>
    </row>
    <row r="56" spans="2:33" ht="15.75" x14ac:dyDescent="0.25">
      <c r="G56" s="9">
        <f>ROW()-ROW(Tabela_główna[[#Headers],[lp]])</f>
        <v>54</v>
      </c>
      <c r="H56" s="1" t="s">
        <v>64</v>
      </c>
      <c r="I56" t="s">
        <v>44</v>
      </c>
      <c r="J56" t="s">
        <v>94</v>
      </c>
      <c r="K56" t="str">
        <f>lista_przewodów!$O$3</f>
        <v>BS-C-H-2</v>
      </c>
      <c r="L56" s="10" t="s">
        <v>39</v>
      </c>
      <c r="M56" s="16">
        <f>VLOOKUP(Tabela_główna[[#This Row],[index]],$AF$3:$AG$57,2,0)/1000</f>
        <v>1.27</v>
      </c>
      <c r="N56" s="13">
        <f t="shared" si="0"/>
        <v>562.5</v>
      </c>
      <c r="O56" s="14">
        <v>150</v>
      </c>
      <c r="P56" s="14">
        <v>300</v>
      </c>
      <c r="Q56" s="8"/>
      <c r="R56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AE56" s="3" t="s">
        <v>38</v>
      </c>
      <c r="AF56" t="s">
        <v>52</v>
      </c>
      <c r="AG56">
        <v>730</v>
      </c>
    </row>
    <row r="57" spans="2:33" ht="15.75" x14ac:dyDescent="0.25">
      <c r="G57" s="9">
        <f>ROW()-ROW(Tabela_główna[[#Headers],[lp]])</f>
        <v>55</v>
      </c>
      <c r="H57" s="1" t="s">
        <v>64</v>
      </c>
      <c r="I57" t="s">
        <v>44</v>
      </c>
      <c r="J57" t="s">
        <v>95</v>
      </c>
      <c r="K57" t="str">
        <f>lista_przewodów!$O$3</f>
        <v>BS-C-H-2</v>
      </c>
      <c r="L57" s="10" t="s">
        <v>39</v>
      </c>
      <c r="M57" s="16">
        <f>VLOOKUP(Tabela_główna[[#This Row],[index]],$AF$3:$AG$57,2,0)/1000</f>
        <v>1.27</v>
      </c>
      <c r="N57" s="13">
        <f t="shared" si="0"/>
        <v>562.5</v>
      </c>
      <c r="O57" s="14">
        <v>150</v>
      </c>
      <c r="P57" s="14">
        <v>300</v>
      </c>
      <c r="Q57" s="8"/>
      <c r="R57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  <c r="AE57" s="3" t="s">
        <v>38</v>
      </c>
      <c r="AF57" t="s">
        <v>16</v>
      </c>
      <c r="AG57">
        <v>0</v>
      </c>
    </row>
    <row r="58" spans="2:33" ht="15.75" x14ac:dyDescent="0.25">
      <c r="G58" s="9">
        <f>ROW()-ROW(Tabela_główna[[#Headers],[lp]])</f>
        <v>56</v>
      </c>
      <c r="H58" s="1" t="s">
        <v>64</v>
      </c>
      <c r="I58" t="s">
        <v>44</v>
      </c>
      <c r="J58" t="s">
        <v>96</v>
      </c>
      <c r="K58" t="str">
        <f>lista_przewodów!$O$3</f>
        <v>BS-C-H-2</v>
      </c>
      <c r="L58" s="10" t="s">
        <v>39</v>
      </c>
      <c r="M58" s="16">
        <f>VLOOKUP(Tabela_główna[[#This Row],[index]],$AF$3:$AG$57,2,0)/1000</f>
        <v>1.27</v>
      </c>
      <c r="N58" s="13">
        <f t="shared" si="0"/>
        <v>562.5</v>
      </c>
      <c r="O58" s="14">
        <v>150</v>
      </c>
      <c r="P58" s="14">
        <v>300</v>
      </c>
      <c r="Q58" s="8"/>
      <c r="R58" s="8">
        <f>(Tabela_główna[[#This Row],[zapas IN, mm]]+Tabela_główna[[#This Row],[wyjscie z koryta - element, mm]]+Tabela_główna[[#This Row],[zapas OUT, mm]]+VLOOKUP(Tabela_główna[[#This Row],[index]],$AF$3:$AG$15,2,FALSE))/1000</f>
        <v>2.2825000000000002</v>
      </c>
    </row>
    <row r="59" spans="2:33" ht="15.75" x14ac:dyDescent="0.25">
      <c r="G59" s="9">
        <f>ROW()-ROW(Tabela_główna[[#Headers],[lp]])</f>
        <v>57</v>
      </c>
      <c r="H59" s="1" t="s">
        <v>47</v>
      </c>
      <c r="I59" t="s">
        <v>131</v>
      </c>
      <c r="J59" t="str">
        <f>_xlfn.TEXTJOIN(";",TRUE,T15:T18)</f>
        <v>DB+Matka;DB+Matka+CH;DB+Matka+BD;DB+Matka+BD+CH</v>
      </c>
      <c r="K59" t="str">
        <f>lista_przewodów!$O$3</f>
        <v>BS-C-H-2</v>
      </c>
      <c r="L59" s="10" t="s">
        <v>23</v>
      </c>
      <c r="M59" s="16">
        <f>VLOOKUP(Tabela_główna[[#This Row],[index]],$AF$3:$AG$57,2,0)/1000</f>
        <v>1.52</v>
      </c>
      <c r="N59" s="13">
        <v>200</v>
      </c>
      <c r="O59" s="14">
        <v>150</v>
      </c>
      <c r="P59" s="14">
        <v>150</v>
      </c>
      <c r="Q59" s="8"/>
      <c r="R59" s="8">
        <f>(Tabela_główna[[#This Row],[zapas IN, mm]]+Tabela_główna[[#This Row],[wyjscie z koryta - element, mm]]+Tabela_główna[[#This Row],[zapas OUT, mm]]+VLOOKUP(Tabela_główna[[#This Row],[index]],$AF$3:$AG$15,2,FALSE))/1000</f>
        <v>2.02</v>
      </c>
    </row>
    <row r="60" spans="2:33" ht="15.75" x14ac:dyDescent="0.25">
      <c r="G60" s="9">
        <f>ROW()-ROW(Tabela_główna[[#Headers],[lp]])</f>
        <v>58</v>
      </c>
      <c r="H60" s="1" t="s">
        <v>47</v>
      </c>
      <c r="I60" t="s">
        <v>132</v>
      </c>
      <c r="J60" t="str">
        <f>_xlfn.TEXTJOIN(";",TRUE,T12:T14,T17:T18)</f>
        <v>Matka+DB;Matka+DB+CH;Matka+DB+satelitka nietypowa;DB+Matka+BD;DB+Matka+BD+CH</v>
      </c>
      <c r="K60" t="str">
        <f>lista_przewodów!$O$3</f>
        <v>BS-C-H-2</v>
      </c>
      <c r="L60" s="10" t="s">
        <v>23</v>
      </c>
      <c r="M60" s="16">
        <f>VLOOKUP(Tabela_główna[[#This Row],[index]],$AF$3:$AG$57,2,0)/1000</f>
        <v>1.52</v>
      </c>
      <c r="N60" s="13">
        <v>200</v>
      </c>
      <c r="O60" s="14">
        <v>150</v>
      </c>
      <c r="P60" s="14">
        <v>150</v>
      </c>
      <c r="Q60" s="8"/>
      <c r="R60" s="8">
        <f>(Tabela_główna[[#This Row],[zapas IN, mm]]+Tabela_główna[[#This Row],[wyjscie z koryta - element, mm]]+Tabela_główna[[#This Row],[zapas OUT, mm]]+VLOOKUP(Tabela_główna[[#This Row],[index]],$AF$3:$AG$15,2,FALSE))/1000</f>
        <v>2.02</v>
      </c>
    </row>
  </sheetData>
  <phoneticPr fontId="3" type="noConversion"/>
  <dataValidations disablePrompts="1" count="2">
    <dataValidation type="list" allowBlank="1" showInputMessage="1" showErrorMessage="1" sqref="J12:J17" xr:uid="{F7102282-138E-4367-8782-9C8D3EDB774D}">
      <formula1>$X$9:$X$10</formula1>
    </dataValidation>
    <dataValidation type="list" allowBlank="1" showInputMessage="1" showErrorMessage="1" sqref="H3:H26 H29:H60" xr:uid="{AC84298F-2403-461C-9535-06979AD9A072}">
      <formula1>$AA$3:$AA$27</formula1>
    </dataValidation>
  </dataValidations>
  <pageMargins left="0.7" right="0.7" top="0.75" bottom="0.75" header="0.3" footer="0.3"/>
  <ignoredErrors>
    <ignoredError sqref="N59:N60 N15:N16 N13 N6:N7" calculatedColumn="1"/>
    <ignoredError sqref="H59:H60" listDataValidation="1"/>
  </ignoredErrors>
  <drawing r:id="rId1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DA79AA4-A980-48DA-9692-B46281BC1833}">
          <x14:formula1>
            <xm:f>lista_przewodów!$N$3:$N$15</xm:f>
          </x14:formula1>
          <xm:sqref>I3:I10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a20ff00-c444-499e-ae0b-aa7ff059f359" xsi:nil="true"/>
    <lcf76f155ced4ddcb4097134ff3c332f xmlns="2f73df72-7a6c-4b59-8d43-2bb210b1f2d4">
      <Terms xmlns="http://schemas.microsoft.com/office/infopath/2007/PartnerControls"/>
    </lcf76f155ced4ddcb4097134ff3c332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E47D0898340D043A10D93C305209DF1" ma:contentTypeVersion="11" ma:contentTypeDescription="Utwórz nowy dokument." ma:contentTypeScope="" ma:versionID="ffd723df087fcc7c6fa30abcf5350560">
  <xsd:schema xmlns:xsd="http://www.w3.org/2001/XMLSchema" xmlns:xs="http://www.w3.org/2001/XMLSchema" xmlns:p="http://schemas.microsoft.com/office/2006/metadata/properties" xmlns:ns2="2f73df72-7a6c-4b59-8d43-2bb210b1f2d4" xmlns:ns3="6a20ff00-c444-499e-ae0b-aa7ff059f359" targetNamespace="http://schemas.microsoft.com/office/2006/metadata/properties" ma:root="true" ma:fieldsID="e5c0084e40dd016b9ae245a966e251ca" ns2:_="" ns3:_="">
    <xsd:import namespace="2f73df72-7a6c-4b59-8d43-2bb210b1f2d4"/>
    <xsd:import namespace="6a20ff00-c444-499e-ae0b-aa7ff059f35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73df72-7a6c-4b59-8d43-2bb210b1f2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Tagi obrazów" ma:readOnly="false" ma:fieldId="{5cf76f15-5ced-4ddc-b409-7134ff3c332f}" ma:taxonomyMulti="true" ma:sspId="20d9dfac-f4d8-43ae-a5a5-e159c3d33ea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20ff00-c444-499e-ae0b-aa7ff059f359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cc29aa73-3ddd-4212-9660-197ae7944a4e}" ma:internalName="TaxCatchAll" ma:showField="CatchAllData" ma:web="6a20ff00-c444-499e-ae0b-aa7ff059f35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AE283-7C21-4D8C-9C49-C607E3172D7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15D22A5-A685-4068-BAE2-6FF8A231BF1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DD31FA-C944-4F77-A4B7-6619F9919CCC}">
  <ds:schemaRefs>
    <ds:schemaRef ds:uri="http://schemas.microsoft.com/office/2006/metadata/properties"/>
    <ds:schemaRef ds:uri="http://schemas.microsoft.com/office/infopath/2007/PartnerControls"/>
    <ds:schemaRef ds:uri="6a20ff00-c444-499e-ae0b-aa7ff059f359"/>
    <ds:schemaRef ds:uri="2f73df72-7a6c-4b59-8d43-2bb210b1f2d4"/>
  </ds:schemaRefs>
</ds:datastoreItem>
</file>

<file path=customXml/itemProps4.xml><?xml version="1.0" encoding="utf-8"?>
<ds:datastoreItem xmlns:ds="http://schemas.openxmlformats.org/officeDocument/2006/customXml" ds:itemID="{1E3D2D47-F67E-446A-A677-2B8AC73CCC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73df72-7a6c-4b59-8d43-2bb210b1f2d4"/>
    <ds:schemaRef ds:uri="6a20ff00-c444-499e-ae0b-aa7ff059f3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lista_przewodów</vt:lpstr>
      <vt:lpstr>Tabeli</vt:lpstr>
      <vt:lpstr>AKTYWNA_KONFIG</vt:lpstr>
      <vt:lpstr>lista_przewodów!Obszar_wydruku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Vitalii Vorchilov</cp:lastModifiedBy>
  <cp:revision/>
  <cp:lastPrinted>2026-03-12T14:30:49Z</cp:lastPrinted>
  <dcterms:created xsi:type="dcterms:W3CDTF">2025-11-24T13:25:13Z</dcterms:created>
  <dcterms:modified xsi:type="dcterms:W3CDTF">2026-03-26T09:57:54Z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0x0101005E47D0898340D043A10D93C305209DF1</vt:lpwstr>
  </property>
  <property fmtid="{D5CDD505-2E9C-101B-9397-08002B2CF9AE}" pid="3" name="MediaServiceImageTags">
    <vt:lpwstr/>
  </property>
</Properties>
</file>